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hs5814_ic_ac_uk/Documents/Quantum Computing in Finance/Regression/Concrete_v7/"/>
    </mc:Choice>
  </mc:AlternateContent>
  <xr:revisionPtr revIDLastSave="42" documentId="8_{1614B113-E7FE-43E2-95EE-0EA53D08D17D}" xr6:coauthVersionLast="47" xr6:coauthVersionMax="47" xr10:uidLastSave="{F3410BE3-AECC-4789-BC1D-9DDC65D848B3}"/>
  <bookViews>
    <workbookView xWindow="-108" yWindow="-108" windowWidth="30936" windowHeight="16896" xr2:uid="{7E04EAA1-6D85-479C-B89B-7DCC33C0C3F5}"/>
  </bookViews>
  <sheets>
    <sheet name="Comparison_Test_R2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01" i="4" l="1"/>
  <c r="P101" i="4"/>
  <c r="O101" i="4"/>
  <c r="N101" i="4"/>
  <c r="M101" i="4"/>
  <c r="Q100" i="4"/>
  <c r="P100" i="4"/>
  <c r="O100" i="4"/>
  <c r="N100" i="4"/>
  <c r="M100" i="4"/>
  <c r="Q99" i="4"/>
  <c r="P99" i="4"/>
  <c r="O99" i="4"/>
  <c r="N99" i="4"/>
  <c r="M99" i="4"/>
  <c r="Q98" i="4"/>
  <c r="P98" i="4"/>
  <c r="O98" i="4"/>
  <c r="N98" i="4"/>
  <c r="M98" i="4"/>
  <c r="Q97" i="4"/>
  <c r="P97" i="4"/>
  <c r="O97" i="4"/>
  <c r="N97" i="4"/>
  <c r="M97" i="4"/>
  <c r="Q76" i="4"/>
  <c r="P76" i="4"/>
  <c r="O76" i="4"/>
  <c r="N76" i="4"/>
  <c r="M76" i="4"/>
  <c r="Q75" i="4"/>
  <c r="P75" i="4"/>
  <c r="O75" i="4"/>
  <c r="N75" i="4"/>
  <c r="M75" i="4"/>
  <c r="Q74" i="4"/>
  <c r="P74" i="4"/>
  <c r="O74" i="4"/>
  <c r="N74" i="4"/>
  <c r="M74" i="4"/>
  <c r="Q73" i="4"/>
  <c r="P73" i="4"/>
  <c r="O73" i="4"/>
  <c r="N73" i="4"/>
  <c r="M73" i="4"/>
  <c r="Q72" i="4"/>
  <c r="P72" i="4"/>
  <c r="O72" i="4"/>
  <c r="N72" i="4"/>
  <c r="M72" i="4"/>
  <c r="Q96" i="4"/>
  <c r="P96" i="4"/>
  <c r="O96" i="4"/>
  <c r="N96" i="4"/>
  <c r="M96" i="4"/>
  <c r="Q95" i="4"/>
  <c r="P95" i="4"/>
  <c r="O95" i="4"/>
  <c r="N95" i="4"/>
  <c r="M95" i="4"/>
  <c r="Q94" i="4"/>
  <c r="P94" i="4"/>
  <c r="O94" i="4"/>
  <c r="N94" i="4"/>
  <c r="M94" i="4"/>
  <c r="Q93" i="4"/>
  <c r="P93" i="4"/>
  <c r="O93" i="4"/>
  <c r="N93" i="4"/>
  <c r="M93" i="4"/>
  <c r="Q92" i="4"/>
  <c r="P92" i="4"/>
  <c r="O92" i="4"/>
  <c r="N92" i="4"/>
  <c r="M92" i="4"/>
  <c r="Q71" i="4"/>
  <c r="P71" i="4"/>
  <c r="O71" i="4"/>
  <c r="N71" i="4"/>
  <c r="M71" i="4"/>
  <c r="Q70" i="4"/>
  <c r="P70" i="4"/>
  <c r="O70" i="4"/>
  <c r="N70" i="4"/>
  <c r="M70" i="4"/>
  <c r="Q69" i="4"/>
  <c r="P69" i="4"/>
  <c r="O69" i="4"/>
  <c r="N69" i="4"/>
  <c r="M69" i="4"/>
  <c r="Q68" i="4"/>
  <c r="P68" i="4"/>
  <c r="O68" i="4"/>
  <c r="N68" i="4"/>
  <c r="M68" i="4"/>
  <c r="Q67" i="4"/>
  <c r="P67" i="4"/>
  <c r="O67" i="4"/>
  <c r="N67" i="4"/>
  <c r="M67" i="4"/>
  <c r="Q91" i="4"/>
  <c r="P91" i="4"/>
  <c r="O91" i="4"/>
  <c r="N91" i="4"/>
  <c r="M91" i="4"/>
  <c r="Q90" i="4"/>
  <c r="P90" i="4"/>
  <c r="O90" i="4"/>
  <c r="N90" i="4"/>
  <c r="M90" i="4"/>
  <c r="Q89" i="4"/>
  <c r="P89" i="4"/>
  <c r="O89" i="4"/>
  <c r="N89" i="4"/>
  <c r="M89" i="4"/>
  <c r="Q88" i="4"/>
  <c r="P88" i="4"/>
  <c r="O88" i="4"/>
  <c r="N88" i="4"/>
  <c r="M88" i="4"/>
  <c r="Q87" i="4"/>
  <c r="P87" i="4"/>
  <c r="O87" i="4"/>
  <c r="N87" i="4"/>
  <c r="M87" i="4"/>
  <c r="Q66" i="4"/>
  <c r="P66" i="4"/>
  <c r="O66" i="4"/>
  <c r="N66" i="4"/>
  <c r="M66" i="4"/>
  <c r="Q65" i="4"/>
  <c r="P65" i="4"/>
  <c r="O65" i="4"/>
  <c r="N65" i="4"/>
  <c r="M65" i="4"/>
  <c r="Q64" i="4"/>
  <c r="P64" i="4"/>
  <c r="O64" i="4"/>
  <c r="N64" i="4"/>
  <c r="M64" i="4"/>
  <c r="Q63" i="4"/>
  <c r="P63" i="4"/>
  <c r="O63" i="4"/>
  <c r="N63" i="4"/>
  <c r="M63" i="4"/>
  <c r="Q62" i="4"/>
  <c r="P62" i="4"/>
  <c r="O62" i="4"/>
  <c r="N62" i="4"/>
  <c r="M62" i="4"/>
  <c r="Q86" i="4"/>
  <c r="P86" i="4"/>
  <c r="O86" i="4"/>
  <c r="N86" i="4"/>
  <c r="M86" i="4"/>
  <c r="Q85" i="4"/>
  <c r="P85" i="4"/>
  <c r="O85" i="4"/>
  <c r="N85" i="4"/>
  <c r="M85" i="4"/>
  <c r="Q84" i="4"/>
  <c r="P84" i="4"/>
  <c r="O84" i="4"/>
  <c r="N84" i="4"/>
  <c r="M84" i="4"/>
  <c r="Q83" i="4"/>
  <c r="P83" i="4"/>
  <c r="O83" i="4"/>
  <c r="N83" i="4"/>
  <c r="M83" i="4"/>
  <c r="Q82" i="4"/>
  <c r="P82" i="4"/>
  <c r="O82" i="4"/>
  <c r="N82" i="4"/>
  <c r="M82" i="4"/>
  <c r="Q61" i="4"/>
  <c r="P61" i="4"/>
  <c r="O61" i="4"/>
  <c r="N61" i="4"/>
  <c r="M61" i="4"/>
  <c r="Q60" i="4"/>
  <c r="P60" i="4"/>
  <c r="O60" i="4"/>
  <c r="N60" i="4"/>
  <c r="M60" i="4"/>
  <c r="Q59" i="4"/>
  <c r="P59" i="4"/>
  <c r="O59" i="4"/>
  <c r="N59" i="4"/>
  <c r="M59" i="4"/>
  <c r="Q58" i="4"/>
  <c r="P58" i="4"/>
  <c r="O58" i="4"/>
  <c r="N58" i="4"/>
  <c r="M58" i="4"/>
  <c r="Q57" i="4"/>
  <c r="P57" i="4"/>
  <c r="O57" i="4"/>
  <c r="N57" i="4"/>
  <c r="M57" i="4"/>
  <c r="Q81" i="4"/>
  <c r="P81" i="4"/>
  <c r="O81" i="4"/>
  <c r="N81" i="4"/>
  <c r="M81" i="4"/>
  <c r="Q80" i="4"/>
  <c r="P80" i="4"/>
  <c r="O80" i="4"/>
  <c r="N80" i="4"/>
  <c r="M80" i="4"/>
  <c r="Q79" i="4"/>
  <c r="P79" i="4"/>
  <c r="O79" i="4"/>
  <c r="N79" i="4"/>
  <c r="M79" i="4"/>
  <c r="Q78" i="4"/>
  <c r="P78" i="4"/>
  <c r="O78" i="4"/>
  <c r="N78" i="4"/>
  <c r="M78" i="4"/>
  <c r="Q77" i="4"/>
  <c r="P77" i="4"/>
  <c r="O77" i="4"/>
  <c r="N77" i="4"/>
  <c r="M77" i="4"/>
  <c r="Q56" i="4"/>
  <c r="P56" i="4"/>
  <c r="O56" i="4"/>
  <c r="N56" i="4"/>
  <c r="M56" i="4"/>
  <c r="Q55" i="4"/>
  <c r="P55" i="4"/>
  <c r="O55" i="4"/>
  <c r="N55" i="4"/>
  <c r="M55" i="4"/>
  <c r="Q54" i="4"/>
  <c r="P54" i="4"/>
  <c r="O54" i="4"/>
  <c r="N54" i="4"/>
  <c r="M54" i="4"/>
  <c r="Q53" i="4"/>
  <c r="P53" i="4"/>
  <c r="O53" i="4"/>
  <c r="N53" i="4"/>
  <c r="M53" i="4"/>
  <c r="Q52" i="4"/>
  <c r="P52" i="4"/>
  <c r="O52" i="4"/>
  <c r="N52" i="4"/>
  <c r="M52" i="4"/>
  <c r="Q51" i="4"/>
  <c r="P51" i="4"/>
  <c r="O51" i="4"/>
  <c r="N51" i="4"/>
  <c r="M51" i="4"/>
  <c r="Q50" i="4"/>
  <c r="P50" i="4"/>
  <c r="O50" i="4"/>
  <c r="N50" i="4"/>
  <c r="M50" i="4"/>
  <c r="Q49" i="4"/>
  <c r="P49" i="4"/>
  <c r="O49" i="4"/>
  <c r="N49" i="4"/>
  <c r="M49" i="4"/>
  <c r="Q48" i="4"/>
  <c r="P48" i="4"/>
  <c r="O48" i="4"/>
  <c r="N48" i="4"/>
  <c r="M48" i="4"/>
  <c r="Q47" i="4"/>
  <c r="P47" i="4"/>
  <c r="O47" i="4"/>
  <c r="N47" i="4"/>
  <c r="M47" i="4"/>
  <c r="Q46" i="4"/>
  <c r="P46" i="4"/>
  <c r="O46" i="4"/>
  <c r="N46" i="4"/>
  <c r="M46" i="4"/>
  <c r="Q45" i="4"/>
  <c r="P45" i="4"/>
  <c r="O45" i="4"/>
  <c r="N45" i="4"/>
  <c r="M45" i="4"/>
  <c r="Q44" i="4"/>
  <c r="P44" i="4"/>
  <c r="O44" i="4"/>
  <c r="N44" i="4"/>
  <c r="M44" i="4"/>
  <c r="Q43" i="4"/>
  <c r="P43" i="4"/>
  <c r="O43" i="4"/>
  <c r="N43" i="4"/>
  <c r="M43" i="4"/>
  <c r="Q42" i="4"/>
  <c r="P42" i="4"/>
  <c r="O42" i="4"/>
  <c r="N42" i="4"/>
  <c r="M42" i="4"/>
</calcChain>
</file>

<file path=xl/sharedStrings.xml><?xml version="1.0" encoding="utf-8"?>
<sst xmlns="http://schemas.openxmlformats.org/spreadsheetml/2006/main" count="51" uniqueCount="48">
  <si>
    <t>16t4t1_Parallel</t>
  </si>
  <si>
    <t>24t8t3t1_Parallel</t>
  </si>
  <si>
    <t>32t11t4t1_Parallel</t>
  </si>
  <si>
    <t>40t14t5t1_Parallel</t>
  </si>
  <si>
    <t>48t16t4t1_Parallel</t>
  </si>
  <si>
    <t>56t18t6t2_Parallel</t>
  </si>
  <si>
    <t>8t3t1_Parallel</t>
  </si>
  <si>
    <t>Layer\Depth</t>
  </si>
  <si>
    <t>SingleVQC_Q8</t>
  </si>
  <si>
    <t>8t3t1(Q3)</t>
  </si>
  <si>
    <t>8t3t1_Parallel - 8t3t1</t>
  </si>
  <si>
    <t>16t4t1(Q4)</t>
  </si>
  <si>
    <t>16t4t1_Parallel - 16t4t1(Q4)</t>
  </si>
  <si>
    <t>24t8t3t1(Q3)</t>
  </si>
  <si>
    <t>24t8t3t1_Parallel - 24t8t3t1(Q3)</t>
  </si>
  <si>
    <t>24t5t1(Q5)</t>
  </si>
  <si>
    <t>24t5t1(Q5) - 24t8t3t1(Q3)</t>
  </si>
  <si>
    <t>32t11t4t1(Q3)</t>
  </si>
  <si>
    <t>32t11t4t1_Parallel - 32t11t4t1(Q3)</t>
  </si>
  <si>
    <t>32t7t2(Q5)</t>
  </si>
  <si>
    <t>32t7t2(Q5) - 32t11t4t1(Q3)</t>
  </si>
  <si>
    <t>40t14t5t1(Q3)</t>
  </si>
  <si>
    <t>40t14t5t1_Parallel - 40t14t5t1(Q3)</t>
  </si>
  <si>
    <t>40t8t2(Q5)</t>
  </si>
  <si>
    <t>40t8t2(Q5) - 40t14t5t1(Q3)</t>
  </si>
  <si>
    <t>48t16t4t1(Q3)</t>
  </si>
  <si>
    <t>48t16t4t1_Parallel - 48t16t4t1(Q3)</t>
  </si>
  <si>
    <t>48t10t2(Q5)</t>
  </si>
  <si>
    <t>48t10t2(Q5) - 48t16t4t1(Q3)</t>
  </si>
  <si>
    <t>56t18t6t2(Q3)</t>
  </si>
  <si>
    <t>56t18t6t2_Parallel - 56t18t6t2(Q3)</t>
  </si>
  <si>
    <t>56t12t4t1(Q5)</t>
  </si>
  <si>
    <t>56t12t4t1(Q5) - 56t18t6t2(Q3)</t>
  </si>
  <si>
    <t>Type</t>
  </si>
  <si>
    <t>Type 1</t>
  </si>
  <si>
    <t>Type 3</t>
  </si>
  <si>
    <t>Type 2</t>
  </si>
  <si>
    <t>Type 4</t>
  </si>
  <si>
    <t>VQC</t>
  </si>
  <si>
    <t>5-Qubit-VQC</t>
  </si>
  <si>
    <t>Sliding Windows</t>
  </si>
  <si>
    <t>N/A</t>
  </si>
  <si>
    <t>Mixing Rule</t>
  </si>
  <si>
    <t>Model Name</t>
  </si>
  <si>
    <t>8-Qubit-VQC</t>
  </si>
  <si>
    <t>3-Qubit-VQC
(except 16t4t1: 4-Qubit-VQC)</t>
  </si>
  <si>
    <t>Sliding Windows 
(except 16t4t1: Fully Connected)</t>
  </si>
  <si>
    <t>Parallel
(except 16t4t1: Fully Connected)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</si>
</sst>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3">
    <xf numFmtId="0" fontId="0" fillId="0" borderId="0" xfId="0"/>
    <xf numFmtId="0" fontId="16" fillId="0" borderId="0" xfId="0" applyFont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 applyAlignment="1">
      <alignment horizontal="center" vertical="center"/>
    </xf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 applyAlignment="1">
      <alignment horizontal="center" vertical="center"/>
    </xf>
    <xf numFmtId="0" fontId="0" fillId="0" borderId="15" xfId="0" applyBorder="1"/>
    <xf numFmtId="0" fontId="0" fillId="0" borderId="15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2C1B6-F1E6-4A7E-8756-67B3658EB175}">
  <dimension ref="B1:R101"/>
  <sheetViews>
    <sheetView tabSelected="1" workbookViewId="0">
      <selection activeCell="N2" sqref="N2"/>
    </sheetView>
  </sheetViews>
  <sheetFormatPr defaultRowHeight="14.4" x14ac:dyDescent="0.3"/>
  <cols>
    <col min="2" max="2" width="13.88671875" customWidth="1"/>
    <col min="3" max="3" width="17.6640625" customWidth="1"/>
    <col min="4" max="4" width="11.21875" customWidth="1"/>
    <col min="5" max="5" width="32" customWidth="1"/>
    <col min="6" max="6" width="10.77734375" bestFit="1" customWidth="1"/>
    <col min="18" max="18" width="30.6640625" style="1" customWidth="1"/>
  </cols>
  <sheetData>
    <row r="1" spans="2:11" x14ac:dyDescent="0.3">
      <c r="B1" s="7" t="s">
        <v>38</v>
      </c>
      <c r="C1" s="7" t="s">
        <v>42</v>
      </c>
      <c r="D1" s="7" t="s">
        <v>33</v>
      </c>
      <c r="E1" s="7" t="s">
        <v>43</v>
      </c>
      <c r="F1" s="14" t="s">
        <v>7</v>
      </c>
      <c r="G1" s="14">
        <v>1</v>
      </c>
      <c r="H1" s="14">
        <v>3</v>
      </c>
      <c r="I1" s="14">
        <v>5</v>
      </c>
      <c r="J1" s="14">
        <v>7</v>
      </c>
      <c r="K1" s="14">
        <v>9</v>
      </c>
    </row>
    <row r="2" spans="2:11" ht="14.4" customHeight="1" x14ac:dyDescent="0.3">
      <c r="B2" s="17" t="s">
        <v>44</v>
      </c>
      <c r="C2" s="17" t="s">
        <v>41</v>
      </c>
      <c r="D2" s="13" t="s">
        <v>34</v>
      </c>
      <c r="E2" s="15" t="s">
        <v>8</v>
      </c>
      <c r="F2" s="8">
        <v>1</v>
      </c>
      <c r="G2" s="8">
        <v>7.4100494384765E-3</v>
      </c>
      <c r="H2" s="8">
        <v>0.39247924089431702</v>
      </c>
      <c r="I2" s="8">
        <v>0.59698975086212103</v>
      </c>
      <c r="J2" s="8">
        <v>0.62804466485977095</v>
      </c>
      <c r="K2" s="9">
        <v>0.68631231784820501</v>
      </c>
    </row>
    <row r="3" spans="2:11" x14ac:dyDescent="0.3">
      <c r="B3" s="20"/>
      <c r="C3" s="20"/>
      <c r="D3" s="16" t="s">
        <v>36</v>
      </c>
      <c r="E3" s="15"/>
      <c r="F3">
        <v>3</v>
      </c>
      <c r="G3">
        <v>0.194212436676025</v>
      </c>
      <c r="H3">
        <v>0.61764621734619096</v>
      </c>
      <c r="I3">
        <v>0.75853466987609797</v>
      </c>
      <c r="J3">
        <v>0.72310632467269897</v>
      </c>
      <c r="K3" s="10">
        <v>0.75894916057586603</v>
      </c>
    </row>
    <row r="4" spans="2:11" x14ac:dyDescent="0.3">
      <c r="B4" s="20"/>
      <c r="C4" s="20"/>
      <c r="D4" s="16"/>
      <c r="E4" s="15"/>
      <c r="F4">
        <v>5</v>
      </c>
      <c r="G4">
        <v>0.12663668394088701</v>
      </c>
      <c r="H4">
        <v>0.641773462295532</v>
      </c>
      <c r="I4">
        <v>0.72545063495635898</v>
      </c>
      <c r="J4">
        <v>0.76029592752456598</v>
      </c>
      <c r="K4" s="10">
        <v>0.74098098278045599</v>
      </c>
    </row>
    <row r="5" spans="2:11" x14ac:dyDescent="0.3">
      <c r="B5" s="20"/>
      <c r="C5" s="20"/>
      <c r="D5" s="16"/>
      <c r="E5" s="15"/>
      <c r="F5">
        <v>7</v>
      </c>
      <c r="G5">
        <v>0.13755708932876501</v>
      </c>
      <c r="H5">
        <v>0.54687416553497303</v>
      </c>
      <c r="I5">
        <v>0.50049448013305597</v>
      </c>
      <c r="J5">
        <v>0.72439479827880804</v>
      </c>
      <c r="K5" s="10">
        <v>0.71051436662673895</v>
      </c>
    </row>
    <row r="6" spans="2:11" x14ac:dyDescent="0.3">
      <c r="B6" s="21"/>
      <c r="C6" s="21"/>
      <c r="D6" s="16"/>
      <c r="E6" s="15"/>
      <c r="F6" s="11">
        <v>9</v>
      </c>
      <c r="G6" s="11">
        <v>0.201132237911224</v>
      </c>
      <c r="H6" s="11">
        <v>0.59302759170532204</v>
      </c>
      <c r="I6" s="11">
        <v>0.77573537826537997</v>
      </c>
      <c r="J6" s="11">
        <v>0.64843773841857899</v>
      </c>
      <c r="K6" s="12">
        <v>0.71115553379058805</v>
      </c>
    </row>
    <row r="7" spans="2:11" x14ac:dyDescent="0.3">
      <c r="B7" s="17" t="s">
        <v>45</v>
      </c>
      <c r="C7" s="17" t="s">
        <v>46</v>
      </c>
      <c r="D7" s="16" t="s">
        <v>35</v>
      </c>
      <c r="E7" s="15" t="s">
        <v>9</v>
      </c>
      <c r="F7" s="8">
        <v>1</v>
      </c>
      <c r="G7" s="8">
        <v>0.33135247230529702</v>
      </c>
      <c r="H7" s="8">
        <v>0.76229906082153298</v>
      </c>
      <c r="I7" s="8">
        <v>0.78157627582550004</v>
      </c>
      <c r="J7" s="8">
        <v>0.77672684192657404</v>
      </c>
      <c r="K7" s="9">
        <v>0.75931859016418402</v>
      </c>
    </row>
    <row r="8" spans="2:11" x14ac:dyDescent="0.3">
      <c r="B8" s="18"/>
      <c r="C8" s="18"/>
      <c r="D8" s="16"/>
      <c r="E8" s="15"/>
      <c r="F8">
        <v>3</v>
      </c>
      <c r="G8">
        <v>0.40206032991409302</v>
      </c>
      <c r="H8">
        <v>0.79217666387557895</v>
      </c>
      <c r="I8">
        <v>0.81341713666915805</v>
      </c>
      <c r="J8">
        <v>0.82841545343399003</v>
      </c>
      <c r="K8" s="10">
        <v>0.82224750518798795</v>
      </c>
    </row>
    <row r="9" spans="2:11" x14ac:dyDescent="0.3">
      <c r="B9" s="18"/>
      <c r="C9" s="18"/>
      <c r="D9" s="16"/>
      <c r="E9" s="15"/>
      <c r="F9">
        <v>5</v>
      </c>
      <c r="G9">
        <v>0.43536400794982899</v>
      </c>
      <c r="H9">
        <v>0.80514079332351596</v>
      </c>
      <c r="I9">
        <v>0.80955421924590998</v>
      </c>
      <c r="J9">
        <v>0.83801436424255304</v>
      </c>
      <c r="K9" s="10">
        <v>0.79285573959350497</v>
      </c>
    </row>
    <row r="10" spans="2:11" x14ac:dyDescent="0.3">
      <c r="B10" s="18"/>
      <c r="C10" s="18"/>
      <c r="D10" s="16"/>
      <c r="E10" s="15"/>
      <c r="F10">
        <v>7</v>
      </c>
      <c r="G10">
        <v>0.44232767820358199</v>
      </c>
      <c r="H10">
        <v>0.77752304077148404</v>
      </c>
      <c r="I10">
        <v>0.82010138034820501</v>
      </c>
      <c r="J10">
        <v>0.75586938858032204</v>
      </c>
      <c r="K10" s="10">
        <v>0.84459263086318903</v>
      </c>
    </row>
    <row r="11" spans="2:11" x14ac:dyDescent="0.3">
      <c r="B11" s="18"/>
      <c r="C11" s="18"/>
      <c r="D11" s="16"/>
      <c r="E11" s="15"/>
      <c r="F11" s="11">
        <v>9</v>
      </c>
      <c r="G11" s="11">
        <v>0.44059455394744801</v>
      </c>
      <c r="H11" s="11">
        <v>0.79553079605102495</v>
      </c>
      <c r="I11" s="11">
        <v>0.73783016204833896</v>
      </c>
      <c r="J11" s="11">
        <v>0.82470762729644698</v>
      </c>
      <c r="K11" s="12">
        <v>0.76185452938079801</v>
      </c>
    </row>
    <row r="12" spans="2:11" x14ac:dyDescent="0.3">
      <c r="B12" s="18"/>
      <c r="C12" s="18"/>
      <c r="D12" s="16" t="s">
        <v>37</v>
      </c>
      <c r="E12" s="15" t="s">
        <v>11</v>
      </c>
      <c r="F12" s="8">
        <v>1</v>
      </c>
      <c r="G12" s="8">
        <v>0.30381166934967002</v>
      </c>
      <c r="H12" s="8">
        <v>0.82761013507842995</v>
      </c>
      <c r="I12" s="8">
        <v>0.83588606119155795</v>
      </c>
      <c r="J12" s="8">
        <v>0.86447393894195501</v>
      </c>
      <c r="K12" s="9">
        <v>0.86782324314117398</v>
      </c>
    </row>
    <row r="13" spans="2:11" x14ac:dyDescent="0.3">
      <c r="B13" s="18"/>
      <c r="C13" s="18"/>
      <c r="D13" s="16"/>
      <c r="E13" s="15"/>
      <c r="F13">
        <v>3</v>
      </c>
      <c r="G13">
        <v>0.41681855916976901</v>
      </c>
      <c r="H13">
        <v>0.86355918645858698</v>
      </c>
      <c r="I13">
        <v>0.85071575641632002</v>
      </c>
      <c r="J13">
        <v>0.86930191516876198</v>
      </c>
      <c r="K13" s="10">
        <v>0.84228873252868597</v>
      </c>
    </row>
    <row r="14" spans="2:11" x14ac:dyDescent="0.3">
      <c r="B14" s="18"/>
      <c r="C14" s="18"/>
      <c r="D14" s="16"/>
      <c r="E14" s="15"/>
      <c r="F14">
        <v>5</v>
      </c>
      <c r="G14">
        <v>0.360910654067993</v>
      </c>
      <c r="H14">
        <v>0.84674513339996305</v>
      </c>
      <c r="I14">
        <v>0.85207176208496005</v>
      </c>
      <c r="J14">
        <v>0.89009267091751099</v>
      </c>
      <c r="K14" s="10">
        <v>0.81063640117645197</v>
      </c>
    </row>
    <row r="15" spans="2:11" x14ac:dyDescent="0.3">
      <c r="B15" s="18"/>
      <c r="C15" s="18"/>
      <c r="D15" s="16"/>
      <c r="E15" s="15"/>
      <c r="F15">
        <v>7</v>
      </c>
      <c r="G15">
        <v>0.43883830308914101</v>
      </c>
      <c r="H15">
        <v>0.80975997447967496</v>
      </c>
      <c r="I15">
        <v>0.85794866085052401</v>
      </c>
      <c r="J15">
        <v>0.84137475490570002</v>
      </c>
      <c r="K15" s="10">
        <v>0.81366068124771096</v>
      </c>
    </row>
    <row r="16" spans="2:11" x14ac:dyDescent="0.3">
      <c r="B16" s="18"/>
      <c r="C16" s="18"/>
      <c r="D16" s="16"/>
      <c r="E16" s="15"/>
      <c r="F16" s="11">
        <v>9</v>
      </c>
      <c r="G16" s="11">
        <v>0.45573544502258301</v>
      </c>
      <c r="H16" s="11">
        <v>0.85758769512176503</v>
      </c>
      <c r="I16" s="11">
        <v>0.87333142757415705</v>
      </c>
      <c r="J16" s="11">
        <v>0.82332301139831499</v>
      </c>
      <c r="K16" s="12">
        <v>0.87875133752822798</v>
      </c>
    </row>
    <row r="17" spans="2:11" x14ac:dyDescent="0.3">
      <c r="B17" s="18"/>
      <c r="C17" s="18"/>
      <c r="D17" s="16"/>
      <c r="E17" s="15" t="s">
        <v>13</v>
      </c>
      <c r="F17" s="8">
        <v>1</v>
      </c>
      <c r="G17" s="8">
        <v>0.38053274154663003</v>
      </c>
      <c r="H17" s="8">
        <v>0.87962824106216397</v>
      </c>
      <c r="I17" s="8">
        <v>0.87864947319030695</v>
      </c>
      <c r="J17" s="8">
        <v>0.88483601808547896</v>
      </c>
      <c r="K17" s="9">
        <v>0.87625491619110096</v>
      </c>
    </row>
    <row r="18" spans="2:11" x14ac:dyDescent="0.3">
      <c r="B18" s="18"/>
      <c r="C18" s="18"/>
      <c r="D18" s="16"/>
      <c r="E18" s="15"/>
      <c r="F18">
        <v>3</v>
      </c>
      <c r="G18">
        <v>0.46316301822662298</v>
      </c>
      <c r="H18">
        <v>0.86958873271942105</v>
      </c>
      <c r="I18">
        <v>0.89289879798889105</v>
      </c>
      <c r="J18">
        <v>0.88783353567123402</v>
      </c>
      <c r="K18" s="10">
        <v>0.89414608478546098</v>
      </c>
    </row>
    <row r="19" spans="2:11" x14ac:dyDescent="0.3">
      <c r="B19" s="18"/>
      <c r="C19" s="18"/>
      <c r="D19" s="16"/>
      <c r="E19" s="15"/>
      <c r="F19">
        <v>5</v>
      </c>
      <c r="G19">
        <v>0.49895691871643</v>
      </c>
      <c r="H19">
        <v>0.89631927013397195</v>
      </c>
      <c r="I19">
        <v>0.88481098413467396</v>
      </c>
      <c r="J19">
        <v>0.87489616870880105</v>
      </c>
      <c r="K19" s="10">
        <v>0.90519493818283003</v>
      </c>
    </row>
    <row r="20" spans="2:11" x14ac:dyDescent="0.3">
      <c r="B20" s="18"/>
      <c r="C20" s="18"/>
      <c r="D20" s="16"/>
      <c r="E20" s="15"/>
      <c r="F20">
        <v>7</v>
      </c>
      <c r="G20">
        <v>0.462165117263793</v>
      </c>
      <c r="H20">
        <v>0.84035438299178999</v>
      </c>
      <c r="I20">
        <v>0.89296406507491999</v>
      </c>
      <c r="J20">
        <v>0.86160182952880804</v>
      </c>
      <c r="K20" s="10">
        <v>0.78776514530181796</v>
      </c>
    </row>
    <row r="21" spans="2:11" x14ac:dyDescent="0.3">
      <c r="B21" s="18"/>
      <c r="C21" s="18"/>
      <c r="D21" s="16"/>
      <c r="E21" s="15"/>
      <c r="F21" s="11">
        <v>9</v>
      </c>
      <c r="G21" s="11">
        <v>0.48321193456649703</v>
      </c>
      <c r="H21" s="11">
        <v>0.86877650022506703</v>
      </c>
      <c r="I21" s="11">
        <v>0.840160071849823</v>
      </c>
      <c r="J21" s="11">
        <v>0.89192193746566695</v>
      </c>
      <c r="K21" s="12">
        <v>0.86045372486114502</v>
      </c>
    </row>
    <row r="22" spans="2:11" x14ac:dyDescent="0.3">
      <c r="B22" s="18"/>
      <c r="C22" s="18"/>
      <c r="D22" s="16"/>
      <c r="E22" s="15" t="s">
        <v>17</v>
      </c>
      <c r="F22" s="8">
        <v>1</v>
      </c>
      <c r="G22" s="8">
        <v>0.33217757940292297</v>
      </c>
      <c r="H22" s="8">
        <v>0.87433713674545199</v>
      </c>
      <c r="I22" s="8">
        <v>0.89878815412521296</v>
      </c>
      <c r="J22" s="8">
        <v>0.90835088491439797</v>
      </c>
      <c r="K22" s="9">
        <v>0.89514821767806996</v>
      </c>
    </row>
    <row r="23" spans="2:11" x14ac:dyDescent="0.3">
      <c r="B23" s="18"/>
      <c r="C23" s="18"/>
      <c r="D23" s="16"/>
      <c r="E23" s="15"/>
      <c r="F23">
        <v>3</v>
      </c>
      <c r="G23">
        <v>0.38415902853012002</v>
      </c>
      <c r="H23">
        <v>0.87056994438171298</v>
      </c>
      <c r="I23">
        <v>0.897865951061248</v>
      </c>
      <c r="J23">
        <v>0.902845978736877</v>
      </c>
      <c r="K23" s="10">
        <v>0.85393071174621504</v>
      </c>
    </row>
    <row r="24" spans="2:11" x14ac:dyDescent="0.3">
      <c r="B24" s="18"/>
      <c r="C24" s="18"/>
      <c r="D24" s="16"/>
      <c r="E24" s="15"/>
      <c r="F24">
        <v>5</v>
      </c>
      <c r="G24">
        <v>0.51497727632522505</v>
      </c>
      <c r="H24">
        <v>0.85713016986846902</v>
      </c>
      <c r="I24">
        <v>0.92021358013152998</v>
      </c>
      <c r="J24">
        <v>0.88698023557662897</v>
      </c>
      <c r="K24" s="10">
        <v>0.90941888093948298</v>
      </c>
    </row>
    <row r="25" spans="2:11" x14ac:dyDescent="0.3">
      <c r="B25" s="18"/>
      <c r="C25" s="18"/>
      <c r="D25" s="16"/>
      <c r="E25" s="15"/>
      <c r="F25">
        <v>7</v>
      </c>
      <c r="G25">
        <v>0.51736593246459905</v>
      </c>
      <c r="H25">
        <v>0.84078836441039995</v>
      </c>
      <c r="I25">
        <v>0.923891901969909</v>
      </c>
      <c r="J25">
        <v>0.89410501718521096</v>
      </c>
      <c r="K25" s="10">
        <v>0.86667251586913996</v>
      </c>
    </row>
    <row r="26" spans="2:11" x14ac:dyDescent="0.3">
      <c r="B26" s="18"/>
      <c r="C26" s="18"/>
      <c r="D26" s="16"/>
      <c r="E26" s="15"/>
      <c r="F26" s="11">
        <v>9</v>
      </c>
      <c r="G26" s="11">
        <v>0.541692554950714</v>
      </c>
      <c r="H26" s="11">
        <v>0.85505658388137795</v>
      </c>
      <c r="I26" s="11">
        <v>0.905098557472229</v>
      </c>
      <c r="J26" s="11">
        <v>0.88220298290252597</v>
      </c>
      <c r="K26" s="12">
        <v>0.85583174228668202</v>
      </c>
    </row>
    <row r="27" spans="2:11" x14ac:dyDescent="0.3">
      <c r="B27" s="18"/>
      <c r="C27" s="18"/>
      <c r="D27" s="16"/>
      <c r="E27" s="15" t="s">
        <v>21</v>
      </c>
      <c r="F27" s="8">
        <v>1</v>
      </c>
      <c r="G27" s="8">
        <v>0.31252908706665</v>
      </c>
      <c r="H27" s="8">
        <v>0.88526540994644098</v>
      </c>
      <c r="I27" s="8">
        <v>0.88471549749374301</v>
      </c>
      <c r="J27" s="8">
        <v>0.90279644727706898</v>
      </c>
      <c r="K27" s="9">
        <v>0.891371250152587</v>
      </c>
    </row>
    <row r="28" spans="2:11" x14ac:dyDescent="0.3">
      <c r="B28" s="18"/>
      <c r="C28" s="18"/>
      <c r="D28" s="16"/>
      <c r="E28" s="15"/>
      <c r="F28">
        <v>3</v>
      </c>
      <c r="G28">
        <v>0.56171452999114901</v>
      </c>
      <c r="H28">
        <v>0.89400213956832797</v>
      </c>
      <c r="I28">
        <v>0.87720656394958496</v>
      </c>
      <c r="J28">
        <v>0.88980746269225997</v>
      </c>
      <c r="K28" s="10">
        <v>0.9121955037117</v>
      </c>
    </row>
    <row r="29" spans="2:11" x14ac:dyDescent="0.3">
      <c r="B29" s="18"/>
      <c r="C29" s="18"/>
      <c r="D29" s="16"/>
      <c r="E29" s="15"/>
      <c r="F29">
        <v>5</v>
      </c>
      <c r="G29">
        <v>0.56403219699859597</v>
      </c>
      <c r="H29">
        <v>0.88010448217391901</v>
      </c>
      <c r="I29">
        <v>0.89057123661041204</v>
      </c>
      <c r="J29">
        <v>0.89591425657272294</v>
      </c>
      <c r="K29" s="10">
        <v>0.86065709590911799</v>
      </c>
    </row>
    <row r="30" spans="2:11" x14ac:dyDescent="0.3">
      <c r="B30" s="18"/>
      <c r="C30" s="18"/>
      <c r="D30" s="16"/>
      <c r="E30" s="15"/>
      <c r="F30">
        <v>7</v>
      </c>
      <c r="G30">
        <v>0.58561372756957997</v>
      </c>
      <c r="H30">
        <v>0.88606292009353604</v>
      </c>
      <c r="I30">
        <v>0.88539236783981301</v>
      </c>
      <c r="J30">
        <v>0.90035784244537298</v>
      </c>
      <c r="K30" s="10">
        <v>0.87406802177429199</v>
      </c>
    </row>
    <row r="31" spans="2:11" x14ac:dyDescent="0.3">
      <c r="B31" s="18"/>
      <c r="C31" s="18"/>
      <c r="D31" s="16"/>
      <c r="E31" s="15"/>
      <c r="F31" s="11">
        <v>9</v>
      </c>
      <c r="G31" s="11">
        <v>0.58164322376251198</v>
      </c>
      <c r="H31" s="11">
        <v>0.85939019918441695</v>
      </c>
      <c r="I31" s="11">
        <v>0.87162506580352705</v>
      </c>
      <c r="J31" s="11">
        <v>0.86811202764511097</v>
      </c>
      <c r="K31" s="12">
        <v>0.87513405084609897</v>
      </c>
    </row>
    <row r="32" spans="2:11" x14ac:dyDescent="0.3">
      <c r="B32" s="18"/>
      <c r="C32" s="18"/>
      <c r="D32" s="16"/>
      <c r="E32" s="15" t="s">
        <v>25</v>
      </c>
      <c r="F32" s="8">
        <v>1</v>
      </c>
      <c r="G32" s="8">
        <v>0.37099176645278897</v>
      </c>
      <c r="H32" s="8">
        <v>0.86491739749908403</v>
      </c>
      <c r="I32" s="8">
        <v>0.89467507600784302</v>
      </c>
      <c r="J32" s="8">
        <v>0.88665330410003595</v>
      </c>
      <c r="K32" s="9">
        <v>0.89952188730239802</v>
      </c>
    </row>
    <row r="33" spans="2:18" x14ac:dyDescent="0.3">
      <c r="B33" s="18"/>
      <c r="C33" s="18"/>
      <c r="D33" s="16"/>
      <c r="E33" s="15"/>
      <c r="F33">
        <v>3</v>
      </c>
      <c r="G33">
        <v>0.445696771144866</v>
      </c>
      <c r="H33">
        <v>0.88429284095764105</v>
      </c>
      <c r="I33">
        <v>0.90044414997100797</v>
      </c>
      <c r="J33">
        <v>0.89877766370773304</v>
      </c>
      <c r="K33" s="10">
        <v>0.88309621810912997</v>
      </c>
    </row>
    <row r="34" spans="2:18" x14ac:dyDescent="0.3">
      <c r="B34" s="18"/>
      <c r="C34" s="18"/>
      <c r="D34" s="16"/>
      <c r="E34" s="15"/>
      <c r="F34">
        <v>5</v>
      </c>
      <c r="G34">
        <v>0.50840806961059504</v>
      </c>
      <c r="H34">
        <v>0.87290710210800104</v>
      </c>
      <c r="I34">
        <v>0.90108335018157903</v>
      </c>
      <c r="J34">
        <v>0.90827465057373002</v>
      </c>
      <c r="K34" s="10">
        <v>0.90041708946228005</v>
      </c>
    </row>
    <row r="35" spans="2:18" x14ac:dyDescent="0.3">
      <c r="B35" s="18"/>
      <c r="C35" s="18"/>
      <c r="D35" s="16"/>
      <c r="E35" s="15"/>
      <c r="F35">
        <v>7</v>
      </c>
      <c r="G35">
        <v>0.49013650417327798</v>
      </c>
      <c r="H35">
        <v>0.89314758777618397</v>
      </c>
      <c r="I35">
        <v>0.87201094627380304</v>
      </c>
      <c r="J35">
        <v>0.85205256938934304</v>
      </c>
      <c r="K35" s="10">
        <v>0.79131287336349398</v>
      </c>
    </row>
    <row r="36" spans="2:18" x14ac:dyDescent="0.3">
      <c r="B36" s="18"/>
      <c r="C36" s="18"/>
      <c r="D36" s="16"/>
      <c r="E36" s="15"/>
      <c r="F36" s="11">
        <v>9</v>
      </c>
      <c r="G36" s="11">
        <v>0.54435086250305098</v>
      </c>
      <c r="H36" s="11">
        <v>0.85718452930450395</v>
      </c>
      <c r="I36" s="11">
        <v>0.88430178165435702</v>
      </c>
      <c r="J36" s="11">
        <v>0.888092041015625</v>
      </c>
      <c r="K36" s="12">
        <v>0.82570445537567105</v>
      </c>
    </row>
    <row r="37" spans="2:18" x14ac:dyDescent="0.3">
      <c r="B37" s="18"/>
      <c r="C37" s="18"/>
      <c r="D37" s="16"/>
      <c r="E37" s="15" t="s">
        <v>29</v>
      </c>
      <c r="F37" s="8">
        <v>1</v>
      </c>
      <c r="G37" s="8">
        <v>0.353604435920715</v>
      </c>
      <c r="H37" s="8">
        <v>0.89411270618438698</v>
      </c>
      <c r="I37" s="8">
        <v>0.91688811779022195</v>
      </c>
      <c r="J37" s="8">
        <v>0.900246262550354</v>
      </c>
      <c r="K37" s="9">
        <v>0.88688367605209295</v>
      </c>
    </row>
    <row r="38" spans="2:18" x14ac:dyDescent="0.3">
      <c r="B38" s="18"/>
      <c r="C38" s="18"/>
      <c r="D38" s="16"/>
      <c r="E38" s="15"/>
      <c r="F38">
        <v>3</v>
      </c>
      <c r="G38">
        <v>0.49582582712173401</v>
      </c>
      <c r="H38">
        <v>0.89090549945831299</v>
      </c>
      <c r="I38">
        <v>0.88590681552886896</v>
      </c>
      <c r="J38">
        <v>0.89095431566238403</v>
      </c>
      <c r="K38" s="10">
        <v>0.91882020235061601</v>
      </c>
    </row>
    <row r="39" spans="2:18" x14ac:dyDescent="0.3">
      <c r="B39" s="18"/>
      <c r="C39" s="18"/>
      <c r="D39" s="16"/>
      <c r="E39" s="15"/>
      <c r="F39">
        <v>5</v>
      </c>
      <c r="G39">
        <v>0.49138677120208701</v>
      </c>
      <c r="H39">
        <v>0.83997005224227905</v>
      </c>
      <c r="I39">
        <v>0.89982306957244795</v>
      </c>
      <c r="J39">
        <v>0.88892328739166204</v>
      </c>
      <c r="K39" s="10">
        <v>0.89616578817367498</v>
      </c>
    </row>
    <row r="40" spans="2:18" x14ac:dyDescent="0.3">
      <c r="B40" s="18"/>
      <c r="C40" s="18"/>
      <c r="D40" s="16"/>
      <c r="E40" s="15"/>
      <c r="F40">
        <v>7</v>
      </c>
      <c r="G40">
        <v>0.483657896518707</v>
      </c>
      <c r="H40">
        <v>0.78661078214645297</v>
      </c>
      <c r="I40">
        <v>0.88838839530944802</v>
      </c>
      <c r="J40">
        <v>0.86931043863296498</v>
      </c>
      <c r="K40" s="10">
        <v>0.85023283958435003</v>
      </c>
    </row>
    <row r="41" spans="2:18" ht="15" thickBot="1" x14ac:dyDescent="0.35">
      <c r="B41" s="18"/>
      <c r="C41" s="19"/>
      <c r="D41" s="16"/>
      <c r="E41" s="15"/>
      <c r="F41" s="11">
        <v>9</v>
      </c>
      <c r="G41" s="11">
        <v>0.52046388387679998</v>
      </c>
      <c r="H41" s="11">
        <v>0.86200082302093495</v>
      </c>
      <c r="I41" s="11">
        <v>0.824615478515625</v>
      </c>
      <c r="J41" s="11">
        <v>0.88176143169402998</v>
      </c>
      <c r="K41" s="12">
        <v>0.78625684976577703</v>
      </c>
    </row>
    <row r="42" spans="2:18" x14ac:dyDescent="0.3">
      <c r="B42" s="18"/>
      <c r="C42" s="17" t="s">
        <v>47</v>
      </c>
      <c r="D42" s="16" t="s">
        <v>35</v>
      </c>
      <c r="E42" s="15" t="s">
        <v>6</v>
      </c>
      <c r="F42" s="8">
        <v>1</v>
      </c>
      <c r="G42" s="8">
        <v>0.23207455873489299</v>
      </c>
      <c r="H42" s="8">
        <v>0.74687290191650302</v>
      </c>
      <c r="I42" s="8">
        <v>0.78593897819518999</v>
      </c>
      <c r="J42" s="8">
        <v>0.78888940811157204</v>
      </c>
      <c r="K42" s="9">
        <v>0.78164786100387496</v>
      </c>
      <c r="M42" s="2">
        <f t="shared" ref="M42:M76" si="0">IF(G42=0,"", G42-G7)</f>
        <v>-9.9277913570404025E-2</v>
      </c>
      <c r="N42" s="3">
        <f t="shared" ref="N42:N76" si="1">IF(H42=0,"", H42-H7)</f>
        <v>-1.5426158905029963E-2</v>
      </c>
      <c r="O42" s="3">
        <f t="shared" ref="O42:O76" si="2">IF(I42=0,"", I42-I7)</f>
        <v>4.3627023696899414E-3</v>
      </c>
      <c r="P42" s="3">
        <f t="shared" ref="P42:P76" si="3">IF(J42=0,"", J42-J7)</f>
        <v>1.2162566184998003E-2</v>
      </c>
      <c r="Q42" s="3">
        <f t="shared" ref="Q42:Q76" si="4">IF(K42=0,"", K42-K7)</f>
        <v>2.232927083969094E-2</v>
      </c>
      <c r="R42" s="1" t="s">
        <v>10</v>
      </c>
    </row>
    <row r="43" spans="2:18" x14ac:dyDescent="0.3">
      <c r="B43" s="18"/>
      <c r="C43" s="18"/>
      <c r="D43" s="16"/>
      <c r="E43" s="15"/>
      <c r="F43">
        <v>3</v>
      </c>
      <c r="G43">
        <v>0.21750122308731001</v>
      </c>
      <c r="H43">
        <v>0.82320749759673995</v>
      </c>
      <c r="I43">
        <v>0.82402867078781095</v>
      </c>
      <c r="J43">
        <v>0.83905941247939997</v>
      </c>
      <c r="K43" s="10">
        <v>0.84522378444671598</v>
      </c>
      <c r="M43" s="4">
        <f t="shared" si="0"/>
        <v>-0.184559106826783</v>
      </c>
      <c r="N43">
        <f t="shared" si="1"/>
        <v>3.1030833721161E-2</v>
      </c>
      <c r="O43">
        <f t="shared" si="2"/>
        <v>1.0611534118652899E-2</v>
      </c>
      <c r="P43">
        <f t="shared" si="3"/>
        <v>1.0643959045409934E-2</v>
      </c>
      <c r="Q43">
        <f t="shared" si="4"/>
        <v>2.2976279258728027E-2</v>
      </c>
    </row>
    <row r="44" spans="2:18" x14ac:dyDescent="0.3">
      <c r="B44" s="18"/>
      <c r="C44" s="18"/>
      <c r="D44" s="16"/>
      <c r="E44" s="15"/>
      <c r="F44">
        <v>5</v>
      </c>
      <c r="G44">
        <v>0.19315010309219299</v>
      </c>
      <c r="H44">
        <v>0.83781754970550504</v>
      </c>
      <c r="I44">
        <v>0.81673264503479004</v>
      </c>
      <c r="J44">
        <v>0.83346915245056097</v>
      </c>
      <c r="K44" s="10">
        <v>0.82922893762588501</v>
      </c>
      <c r="M44" s="4">
        <f t="shared" si="0"/>
        <v>-0.242213904857636</v>
      </c>
      <c r="N44">
        <f t="shared" si="1"/>
        <v>3.2676756381989081E-2</v>
      </c>
      <c r="O44">
        <f t="shared" si="2"/>
        <v>7.1784257888800607E-3</v>
      </c>
      <c r="P44">
        <f t="shared" si="3"/>
        <v>-4.5452117919920765E-3</v>
      </c>
      <c r="Q44">
        <f t="shared" si="4"/>
        <v>3.6373198032380039E-2</v>
      </c>
    </row>
    <row r="45" spans="2:18" x14ac:dyDescent="0.3">
      <c r="B45" s="18"/>
      <c r="C45" s="18"/>
      <c r="D45" s="16"/>
      <c r="E45" s="15"/>
      <c r="F45">
        <v>7</v>
      </c>
      <c r="G45">
        <v>0.25383198261260898</v>
      </c>
      <c r="H45">
        <v>0.81063163280487005</v>
      </c>
      <c r="I45">
        <v>0.82226216793060303</v>
      </c>
      <c r="J45">
        <v>0.79040926694869995</v>
      </c>
      <c r="K45" s="10">
        <v>0.79808229207992498</v>
      </c>
      <c r="M45" s="4">
        <f t="shared" si="0"/>
        <v>-0.18849569559097301</v>
      </c>
      <c r="N45">
        <f t="shared" si="1"/>
        <v>3.3108592033386008E-2</v>
      </c>
      <c r="O45">
        <f t="shared" si="2"/>
        <v>2.160787582398016E-3</v>
      </c>
      <c r="P45">
        <f t="shared" si="3"/>
        <v>3.4539878368377908E-2</v>
      </c>
      <c r="Q45">
        <f t="shared" si="4"/>
        <v>-4.6510338783264049E-2</v>
      </c>
    </row>
    <row r="46" spans="2:18" ht="15" thickBot="1" x14ac:dyDescent="0.35">
      <c r="B46" s="18"/>
      <c r="C46" s="18"/>
      <c r="D46" s="16"/>
      <c r="E46" s="15"/>
      <c r="F46" s="11">
        <v>9</v>
      </c>
      <c r="G46" s="11">
        <v>0.193844079971313</v>
      </c>
      <c r="H46" s="11">
        <v>0.79117596149444502</v>
      </c>
      <c r="I46" s="11">
        <v>0.83335429430007901</v>
      </c>
      <c r="J46" s="11">
        <v>0.79231560230255105</v>
      </c>
      <c r="K46" s="12">
        <v>0.66637116670608498</v>
      </c>
      <c r="M46" s="5">
        <f t="shared" si="0"/>
        <v>-0.246750473976135</v>
      </c>
      <c r="N46" s="6">
        <f t="shared" si="1"/>
        <v>-4.3548345565799229E-3</v>
      </c>
      <c r="O46" s="6">
        <f t="shared" si="2"/>
        <v>9.5524132251740057E-2</v>
      </c>
      <c r="P46" s="6">
        <f t="shared" si="3"/>
        <v>-3.2392024993895929E-2</v>
      </c>
      <c r="Q46" s="6">
        <f t="shared" si="4"/>
        <v>-9.5483362674713024E-2</v>
      </c>
    </row>
    <row r="47" spans="2:18" x14ac:dyDescent="0.3">
      <c r="B47" s="18"/>
      <c r="C47" s="18"/>
      <c r="D47" s="16" t="s">
        <v>37</v>
      </c>
      <c r="E47" s="15" t="s">
        <v>0</v>
      </c>
      <c r="F47" s="8">
        <v>1</v>
      </c>
      <c r="G47" s="8">
        <v>0.272595584392547</v>
      </c>
      <c r="H47" s="8">
        <v>0.834924757480621</v>
      </c>
      <c r="I47" s="8">
        <v>0.84686934947967496</v>
      </c>
      <c r="J47" s="8">
        <v>0.86177724599838201</v>
      </c>
      <c r="K47" s="9">
        <v>0.83561128377914395</v>
      </c>
      <c r="M47" s="2">
        <f t="shared" si="0"/>
        <v>-3.1216084957123025E-2</v>
      </c>
      <c r="N47" s="3">
        <f t="shared" si="1"/>
        <v>7.3146224021910511E-3</v>
      </c>
      <c r="O47" s="3">
        <f t="shared" si="2"/>
        <v>1.098328828811701E-2</v>
      </c>
      <c r="P47" s="3">
        <f t="shared" si="3"/>
        <v>-2.696692943572998E-3</v>
      </c>
      <c r="Q47" s="3">
        <f t="shared" si="4"/>
        <v>-3.2211959362030029E-2</v>
      </c>
      <c r="R47" s="1" t="s">
        <v>12</v>
      </c>
    </row>
    <row r="48" spans="2:18" x14ac:dyDescent="0.3">
      <c r="B48" s="18"/>
      <c r="C48" s="18"/>
      <c r="D48" s="16"/>
      <c r="E48" s="15"/>
      <c r="F48">
        <v>3</v>
      </c>
      <c r="G48">
        <v>0.25408226251602101</v>
      </c>
      <c r="H48">
        <v>0.849589943885803</v>
      </c>
      <c r="I48">
        <v>0.81183606386184604</v>
      </c>
      <c r="J48">
        <v>0.84807038307189897</v>
      </c>
      <c r="K48" s="10">
        <v>0.867939293384552</v>
      </c>
      <c r="M48" s="4">
        <f t="shared" si="0"/>
        <v>-0.162736296653748</v>
      </c>
      <c r="N48">
        <f t="shared" si="1"/>
        <v>-1.396924257278398E-2</v>
      </c>
      <c r="O48">
        <f t="shared" si="2"/>
        <v>-3.8879692554473988E-2</v>
      </c>
      <c r="P48">
        <f t="shared" si="3"/>
        <v>-2.1231532096863015E-2</v>
      </c>
      <c r="Q48">
        <f t="shared" si="4"/>
        <v>2.5650560855866034E-2</v>
      </c>
    </row>
    <row r="49" spans="2:18" x14ac:dyDescent="0.3">
      <c r="B49" s="18"/>
      <c r="C49" s="18"/>
      <c r="D49" s="16"/>
      <c r="E49" s="15"/>
      <c r="F49">
        <v>5</v>
      </c>
      <c r="G49">
        <v>0.27868986129760698</v>
      </c>
      <c r="H49">
        <v>0.84104686975479104</v>
      </c>
      <c r="I49">
        <v>0.83991706371307295</v>
      </c>
      <c r="J49">
        <v>0.79757583141326904</v>
      </c>
      <c r="K49" s="10">
        <v>0.82954990863800004</v>
      </c>
      <c r="M49" s="4">
        <f t="shared" si="0"/>
        <v>-8.222079277038602E-2</v>
      </c>
      <c r="N49">
        <f t="shared" si="1"/>
        <v>-5.6982636451720081E-3</v>
      </c>
      <c r="O49">
        <f t="shared" si="2"/>
        <v>-1.2154698371887096E-2</v>
      </c>
      <c r="P49">
        <f t="shared" si="3"/>
        <v>-9.2516839504241943E-2</v>
      </c>
      <c r="Q49">
        <f t="shared" si="4"/>
        <v>1.8913507461548074E-2</v>
      </c>
    </row>
    <row r="50" spans="2:18" x14ac:dyDescent="0.3">
      <c r="B50" s="18"/>
      <c r="C50" s="18"/>
      <c r="D50" s="16"/>
      <c r="E50" s="15"/>
      <c r="F50">
        <v>7</v>
      </c>
      <c r="G50">
        <v>0.26004558801651001</v>
      </c>
      <c r="H50">
        <v>0.81338000297546298</v>
      </c>
      <c r="I50">
        <v>0.80731940269470204</v>
      </c>
      <c r="J50">
        <v>0.87033891677856401</v>
      </c>
      <c r="K50" s="10">
        <v>0.81178754568099898</v>
      </c>
      <c r="M50" s="4">
        <f t="shared" si="0"/>
        <v>-0.178792715072631</v>
      </c>
      <c r="N50">
        <f t="shared" si="1"/>
        <v>3.6200284957880191E-3</v>
      </c>
      <c r="O50">
        <f t="shared" si="2"/>
        <v>-5.0629258155821977E-2</v>
      </c>
      <c r="P50">
        <f t="shared" si="3"/>
        <v>2.8964161872863992E-2</v>
      </c>
      <c r="Q50">
        <f t="shared" si="4"/>
        <v>-1.8731355667119809E-3</v>
      </c>
    </row>
    <row r="51" spans="2:18" ht="15" thickBot="1" x14ac:dyDescent="0.35">
      <c r="B51" s="18"/>
      <c r="C51" s="18"/>
      <c r="D51" s="16"/>
      <c r="E51" s="15"/>
      <c r="F51" s="11">
        <v>9</v>
      </c>
      <c r="G51" s="11">
        <v>0.30798834562301602</v>
      </c>
      <c r="H51" s="11">
        <v>0.82616823911666804</v>
      </c>
      <c r="I51" s="11">
        <v>0.82666665315627996</v>
      </c>
      <c r="J51" s="11">
        <v>0.82038557529449396</v>
      </c>
      <c r="K51" s="12">
        <v>0.78541922569274902</v>
      </c>
      <c r="M51" s="5">
        <f t="shared" si="0"/>
        <v>-0.14774709939956698</v>
      </c>
      <c r="N51" s="6">
        <f t="shared" si="1"/>
        <v>-3.1419456005096991E-2</v>
      </c>
      <c r="O51" s="6">
        <f t="shared" si="2"/>
        <v>-4.6664774417877086E-2</v>
      </c>
      <c r="P51" s="6">
        <f t="shared" si="3"/>
        <v>-2.9374361038210228E-3</v>
      </c>
      <c r="Q51" s="6">
        <f t="shared" si="4"/>
        <v>-9.3332111835478959E-2</v>
      </c>
    </row>
    <row r="52" spans="2:18" x14ac:dyDescent="0.3">
      <c r="B52" s="18"/>
      <c r="C52" s="18"/>
      <c r="D52" s="16"/>
      <c r="E52" s="15" t="s">
        <v>1</v>
      </c>
      <c r="F52" s="8">
        <v>1</v>
      </c>
      <c r="G52" s="8">
        <v>0.272595584392547</v>
      </c>
      <c r="H52" s="8">
        <v>0.834924757480621</v>
      </c>
      <c r="I52" s="8">
        <v>0.84686934947967496</v>
      </c>
      <c r="J52" s="8">
        <v>0.86177724599838201</v>
      </c>
      <c r="K52" s="9">
        <v>0.83561128377914395</v>
      </c>
      <c r="M52" s="2">
        <f t="shared" si="0"/>
        <v>-0.10793715715408303</v>
      </c>
      <c r="N52" s="3">
        <f t="shared" si="1"/>
        <v>-4.4703483581542969E-2</v>
      </c>
      <c r="O52" s="3">
        <f t="shared" si="2"/>
        <v>-3.1780123710631991E-2</v>
      </c>
      <c r="P52" s="3">
        <f t="shared" si="3"/>
        <v>-2.3058772087096946E-2</v>
      </c>
      <c r="Q52" s="3">
        <f t="shared" si="4"/>
        <v>-4.0643632411957009E-2</v>
      </c>
      <c r="R52" s="1" t="s">
        <v>14</v>
      </c>
    </row>
    <row r="53" spans="2:18" x14ac:dyDescent="0.3">
      <c r="B53" s="18"/>
      <c r="C53" s="18"/>
      <c r="D53" s="16"/>
      <c r="E53" s="15"/>
      <c r="F53">
        <v>3</v>
      </c>
      <c r="G53">
        <v>0.25408226251602101</v>
      </c>
      <c r="H53">
        <v>0.849589943885803</v>
      </c>
      <c r="I53">
        <v>0.81183606386184604</v>
      </c>
      <c r="J53">
        <v>0.84807038307189897</v>
      </c>
      <c r="K53" s="10">
        <v>0.867939293384552</v>
      </c>
      <c r="M53" s="4">
        <f t="shared" si="0"/>
        <v>-0.20908075571060197</v>
      </c>
      <c r="N53">
        <f t="shared" si="1"/>
        <v>-1.9998788833618053E-2</v>
      </c>
      <c r="O53">
        <f t="shared" si="2"/>
        <v>-8.1062734127045011E-2</v>
      </c>
      <c r="P53">
        <f t="shared" si="3"/>
        <v>-3.976315259933505E-2</v>
      </c>
      <c r="Q53">
        <f t="shared" si="4"/>
        <v>-2.620679140090898E-2</v>
      </c>
    </row>
    <row r="54" spans="2:18" x14ac:dyDescent="0.3">
      <c r="B54" s="18"/>
      <c r="C54" s="18"/>
      <c r="D54" s="16"/>
      <c r="E54" s="15"/>
      <c r="F54">
        <v>5</v>
      </c>
      <c r="G54">
        <v>0.27868986129760698</v>
      </c>
      <c r="H54">
        <v>0.84104686975479104</v>
      </c>
      <c r="I54">
        <v>0.83991706371307295</v>
      </c>
      <c r="J54">
        <v>0.79757583141326904</v>
      </c>
      <c r="K54" s="10">
        <v>0.82954990863800004</v>
      </c>
      <c r="M54" s="4">
        <f t="shared" si="0"/>
        <v>-0.22026705741882302</v>
      </c>
      <c r="N54">
        <f t="shared" si="1"/>
        <v>-5.5272400379180908E-2</v>
      </c>
      <c r="O54">
        <f t="shared" si="2"/>
        <v>-4.4893920421601008E-2</v>
      </c>
      <c r="P54">
        <f t="shared" si="3"/>
        <v>-7.7320337295532005E-2</v>
      </c>
      <c r="Q54">
        <f t="shared" si="4"/>
        <v>-7.5645029544829989E-2</v>
      </c>
    </row>
    <row r="55" spans="2:18" x14ac:dyDescent="0.3">
      <c r="B55" s="18"/>
      <c r="C55" s="18"/>
      <c r="D55" s="16"/>
      <c r="E55" s="15"/>
      <c r="F55">
        <v>7</v>
      </c>
      <c r="G55">
        <v>0.26004558801651001</v>
      </c>
      <c r="H55">
        <v>0.81338000297546298</v>
      </c>
      <c r="I55">
        <v>0.80731940269470204</v>
      </c>
      <c r="J55">
        <v>0.87033891677856401</v>
      </c>
      <c r="K55" s="10">
        <v>0.81178754568099898</v>
      </c>
      <c r="M55" s="4">
        <f t="shared" si="0"/>
        <v>-0.20211952924728299</v>
      </c>
      <c r="N55">
        <f t="shared" si="1"/>
        <v>-2.6974380016327015E-2</v>
      </c>
      <c r="O55">
        <f t="shared" si="2"/>
        <v>-8.5644662380217951E-2</v>
      </c>
      <c r="P55">
        <f t="shared" si="3"/>
        <v>8.7370872497559704E-3</v>
      </c>
      <c r="Q55">
        <f t="shared" si="4"/>
        <v>2.4022400379181019E-2</v>
      </c>
    </row>
    <row r="56" spans="2:18" ht="15" thickBot="1" x14ac:dyDescent="0.35">
      <c r="B56" s="18"/>
      <c r="C56" s="18"/>
      <c r="D56" s="16"/>
      <c r="E56" s="15"/>
      <c r="F56" s="11">
        <v>9</v>
      </c>
      <c r="G56" s="11">
        <v>0.30798834562301602</v>
      </c>
      <c r="H56" s="11">
        <v>0.82616823911666804</v>
      </c>
      <c r="I56" s="11">
        <v>0.82666665315627996</v>
      </c>
      <c r="J56" s="11">
        <v>0.82038557529449396</v>
      </c>
      <c r="K56" s="12">
        <v>0.78541922569274902</v>
      </c>
      <c r="M56" s="5">
        <f t="shared" si="0"/>
        <v>-0.175223588943481</v>
      </c>
      <c r="N56" s="6">
        <f t="shared" si="1"/>
        <v>-4.2608261108398993E-2</v>
      </c>
      <c r="O56" s="6">
        <f t="shared" si="2"/>
        <v>-1.3493418693543036E-2</v>
      </c>
      <c r="P56" s="6">
        <f t="shared" si="3"/>
        <v>-7.1536362171172985E-2</v>
      </c>
      <c r="Q56" s="6">
        <f t="shared" si="4"/>
        <v>-7.5034499168395996E-2</v>
      </c>
    </row>
    <row r="57" spans="2:18" x14ac:dyDescent="0.3">
      <c r="B57" s="18"/>
      <c r="C57" s="18"/>
      <c r="D57" s="16"/>
      <c r="E57" s="15" t="s">
        <v>2</v>
      </c>
      <c r="F57" s="8">
        <v>1</v>
      </c>
      <c r="G57" s="8">
        <v>0.33875662088394098</v>
      </c>
      <c r="H57" s="8">
        <v>0.88221752643585205</v>
      </c>
      <c r="I57" s="8">
        <v>0.88516587018966597</v>
      </c>
      <c r="J57" s="8">
        <v>0.88984388113021795</v>
      </c>
      <c r="K57" s="9">
        <v>0.89863860607147195</v>
      </c>
      <c r="M57" s="2">
        <f t="shared" si="0"/>
        <v>6.5790414810180109E-3</v>
      </c>
      <c r="N57" s="3">
        <f t="shared" si="1"/>
        <v>7.8803896904000581E-3</v>
      </c>
      <c r="O57" s="3">
        <f t="shared" si="2"/>
        <v>-1.3622283935546986E-2</v>
      </c>
      <c r="P57" s="3">
        <f t="shared" si="3"/>
        <v>-1.8507003784180021E-2</v>
      </c>
      <c r="Q57" s="3">
        <f t="shared" si="4"/>
        <v>3.4903883934019886E-3</v>
      </c>
      <c r="R57" s="1" t="s">
        <v>18</v>
      </c>
    </row>
    <row r="58" spans="2:18" x14ac:dyDescent="0.3">
      <c r="B58" s="18"/>
      <c r="C58" s="18"/>
      <c r="D58" s="16"/>
      <c r="E58" s="15"/>
      <c r="F58">
        <v>3</v>
      </c>
      <c r="G58">
        <v>0.32924252748489302</v>
      </c>
      <c r="H58">
        <v>0.86377257108688299</v>
      </c>
      <c r="I58">
        <v>0.88662564754485995</v>
      </c>
      <c r="J58">
        <v>0.88465994596481301</v>
      </c>
      <c r="K58" s="10">
        <v>0.88074272871017401</v>
      </c>
      <c r="M58" s="4">
        <f t="shared" si="0"/>
        <v>-5.4916501045226995E-2</v>
      </c>
      <c r="N58">
        <f t="shared" si="1"/>
        <v>-6.7973732948299892E-3</v>
      </c>
      <c r="O58">
        <f t="shared" si="2"/>
        <v>-1.124030351638805E-2</v>
      </c>
      <c r="P58">
        <f t="shared" si="3"/>
        <v>-1.8186032772063987E-2</v>
      </c>
      <c r="Q58">
        <f t="shared" si="4"/>
        <v>2.6812016963958962E-2</v>
      </c>
    </row>
    <row r="59" spans="2:18" x14ac:dyDescent="0.3">
      <c r="B59" s="18"/>
      <c r="C59" s="18"/>
      <c r="D59" s="16"/>
      <c r="E59" s="15"/>
      <c r="F59">
        <v>5</v>
      </c>
      <c r="G59">
        <v>0.297807157039642</v>
      </c>
      <c r="H59">
        <v>0.89008718729019098</v>
      </c>
      <c r="I59">
        <v>0.85338008403777998</v>
      </c>
      <c r="J59">
        <v>0.86264801025390603</v>
      </c>
      <c r="K59" s="10">
        <v>0.85909080505371005</v>
      </c>
      <c r="M59" s="4">
        <f t="shared" si="0"/>
        <v>-0.21717011928558305</v>
      </c>
      <c r="N59">
        <f t="shared" si="1"/>
        <v>3.2957017421721968E-2</v>
      </c>
      <c r="O59">
        <f t="shared" si="2"/>
        <v>-6.683349609375E-2</v>
      </c>
      <c r="P59">
        <f t="shared" si="3"/>
        <v>-2.4332225322722945E-2</v>
      </c>
      <c r="Q59">
        <f t="shared" si="4"/>
        <v>-5.0328075885772927E-2</v>
      </c>
    </row>
    <row r="60" spans="2:18" x14ac:dyDescent="0.3">
      <c r="B60" s="18"/>
      <c r="C60" s="18"/>
      <c r="D60" s="16"/>
      <c r="E60" s="15"/>
      <c r="F60">
        <v>7</v>
      </c>
      <c r="G60">
        <v>0.34057873487472501</v>
      </c>
      <c r="H60">
        <v>0.77382773160934404</v>
      </c>
      <c r="I60">
        <v>0.83937782049178999</v>
      </c>
      <c r="J60">
        <v>0.81199455261230402</v>
      </c>
      <c r="K60" s="10">
        <v>0.82112491130828802</v>
      </c>
      <c r="M60" s="4">
        <f t="shared" si="0"/>
        <v>-0.17678719758987405</v>
      </c>
      <c r="N60">
        <f t="shared" si="1"/>
        <v>-6.6960632801055908E-2</v>
      </c>
      <c r="O60">
        <f t="shared" si="2"/>
        <v>-8.4514081478119008E-2</v>
      </c>
      <c r="P60">
        <f t="shared" si="3"/>
        <v>-8.2110464572906938E-2</v>
      </c>
      <c r="Q60">
        <f t="shared" si="4"/>
        <v>-4.554760456085194E-2</v>
      </c>
    </row>
    <row r="61" spans="2:18" ht="15" thickBot="1" x14ac:dyDescent="0.35">
      <c r="B61" s="18"/>
      <c r="C61" s="18"/>
      <c r="D61" s="16"/>
      <c r="E61" s="15"/>
      <c r="F61" s="11">
        <v>9</v>
      </c>
      <c r="G61" s="11">
        <v>0.330473482608795</v>
      </c>
      <c r="H61" s="11">
        <v>0.672072052955627</v>
      </c>
      <c r="I61" s="11">
        <v>0.81590604782104403</v>
      </c>
      <c r="J61" s="11">
        <v>0.85513901710510198</v>
      </c>
      <c r="K61" s="12">
        <v>0.86463272571563698</v>
      </c>
      <c r="M61" s="5">
        <f t="shared" si="0"/>
        <v>-0.211219072341919</v>
      </c>
      <c r="N61" s="6">
        <f t="shared" si="1"/>
        <v>-0.18298453092575095</v>
      </c>
      <c r="O61" s="6">
        <f t="shared" si="2"/>
        <v>-8.919250965118497E-2</v>
      </c>
      <c r="P61" s="6">
        <f t="shared" si="3"/>
        <v>-2.7063965797423983E-2</v>
      </c>
      <c r="Q61" s="6">
        <f t="shared" si="4"/>
        <v>8.8009834289549671E-3</v>
      </c>
    </row>
    <row r="62" spans="2:18" x14ac:dyDescent="0.3">
      <c r="B62" s="18"/>
      <c r="C62" s="18"/>
      <c r="D62" s="16"/>
      <c r="E62" s="15" t="s">
        <v>3</v>
      </c>
      <c r="F62" s="8">
        <v>1</v>
      </c>
      <c r="G62" s="8">
        <v>0.368687033653259</v>
      </c>
      <c r="H62" s="8">
        <v>0.88816124200820901</v>
      </c>
      <c r="I62" s="8">
        <v>0.89947634935378995</v>
      </c>
      <c r="J62" s="8">
        <v>0.88422703742980902</v>
      </c>
      <c r="K62" s="9">
        <v>0.88976806402206399</v>
      </c>
      <c r="M62" s="2">
        <f t="shared" si="0"/>
        <v>5.6157946586608998E-2</v>
      </c>
      <c r="N62" s="3">
        <f t="shared" si="1"/>
        <v>2.8958320617680222E-3</v>
      </c>
      <c r="O62" s="3">
        <f t="shared" si="2"/>
        <v>1.4760851860046942E-2</v>
      </c>
      <c r="P62" s="3">
        <f t="shared" si="3"/>
        <v>-1.8569409847259966E-2</v>
      </c>
      <c r="Q62" s="3">
        <f t="shared" si="4"/>
        <v>-1.6031861305230155E-3</v>
      </c>
      <c r="R62" s="1" t="s">
        <v>22</v>
      </c>
    </row>
    <row r="63" spans="2:18" x14ac:dyDescent="0.3">
      <c r="B63" s="18"/>
      <c r="C63" s="18"/>
      <c r="D63" s="16"/>
      <c r="E63" s="15"/>
      <c r="F63">
        <v>3</v>
      </c>
      <c r="G63">
        <v>0.34915083646774198</v>
      </c>
      <c r="H63">
        <v>0.87971967458724898</v>
      </c>
      <c r="I63">
        <v>0.89823836088180498</v>
      </c>
      <c r="J63">
        <v>0.90844368934631303</v>
      </c>
      <c r="K63" s="10">
        <v>0.89094799757003695</v>
      </c>
      <c r="M63" s="4">
        <f t="shared" si="0"/>
        <v>-0.21256369352340704</v>
      </c>
      <c r="N63">
        <f t="shared" si="1"/>
        <v>-1.4282464981078991E-2</v>
      </c>
      <c r="O63">
        <f t="shared" si="2"/>
        <v>2.1031796932220015E-2</v>
      </c>
      <c r="P63">
        <f t="shared" si="3"/>
        <v>1.8636226654053067E-2</v>
      </c>
      <c r="Q63">
        <f t="shared" si="4"/>
        <v>-2.1247506141663042E-2</v>
      </c>
    </row>
    <row r="64" spans="2:18" x14ac:dyDescent="0.3">
      <c r="B64" s="18"/>
      <c r="C64" s="18"/>
      <c r="D64" s="16"/>
      <c r="E64" s="15"/>
      <c r="F64">
        <v>5</v>
      </c>
      <c r="G64">
        <v>0.32591927051544101</v>
      </c>
      <c r="H64">
        <v>0.83838051557540805</v>
      </c>
      <c r="I64">
        <v>0.86999410390853804</v>
      </c>
      <c r="J64">
        <v>0.90112209320068304</v>
      </c>
      <c r="K64" s="10">
        <v>0.89867430925369196</v>
      </c>
      <c r="M64" s="4">
        <f t="shared" si="0"/>
        <v>-0.23811292648315496</v>
      </c>
      <c r="N64">
        <f t="shared" si="1"/>
        <v>-4.1723966598510964E-2</v>
      </c>
      <c r="O64">
        <f t="shared" si="2"/>
        <v>-2.0577132701874001E-2</v>
      </c>
      <c r="P64">
        <f t="shared" si="3"/>
        <v>5.2078366279600941E-3</v>
      </c>
      <c r="Q64">
        <f t="shared" si="4"/>
        <v>3.8017213344573975E-2</v>
      </c>
    </row>
    <row r="65" spans="2:18" x14ac:dyDescent="0.3">
      <c r="B65" s="18"/>
      <c r="C65" s="18"/>
      <c r="D65" s="16"/>
      <c r="E65" s="15"/>
      <c r="F65">
        <v>7</v>
      </c>
      <c r="G65">
        <v>0.28936582803726102</v>
      </c>
      <c r="H65">
        <v>0.85427874326705899</v>
      </c>
      <c r="I65">
        <v>0.83531558513641302</v>
      </c>
      <c r="J65">
        <v>0.88455712795257502</v>
      </c>
      <c r="K65" s="10">
        <v>0.89513754844665505</v>
      </c>
      <c r="M65" s="4">
        <f t="shared" si="0"/>
        <v>-0.29624789953231895</v>
      </c>
      <c r="N65">
        <f t="shared" si="1"/>
        <v>-3.1784176826477051E-2</v>
      </c>
      <c r="O65">
        <f t="shared" si="2"/>
        <v>-5.0076782703399991E-2</v>
      </c>
      <c r="P65">
        <f t="shared" si="3"/>
        <v>-1.5800714492797963E-2</v>
      </c>
      <c r="Q65">
        <f t="shared" si="4"/>
        <v>2.1069526672363059E-2</v>
      </c>
    </row>
    <row r="66" spans="2:18" ht="15" thickBot="1" x14ac:dyDescent="0.35">
      <c r="B66" s="18"/>
      <c r="C66" s="18"/>
      <c r="D66" s="16"/>
      <c r="E66" s="15"/>
      <c r="F66" s="11">
        <v>9</v>
      </c>
      <c r="G66" s="11">
        <v>0.36964613199233998</v>
      </c>
      <c r="H66" s="11">
        <v>0.72605293989181496</v>
      </c>
      <c r="I66" s="11">
        <v>0.77561694383621205</v>
      </c>
      <c r="J66" s="11">
        <v>0.86202150583267201</v>
      </c>
      <c r="K66" s="12">
        <v>0.82584571838378895</v>
      </c>
      <c r="M66" s="5">
        <f t="shared" si="0"/>
        <v>-0.21199709177017201</v>
      </c>
      <c r="N66" s="6">
        <f t="shared" si="1"/>
        <v>-0.13333725929260198</v>
      </c>
      <c r="O66" s="6">
        <f t="shared" si="2"/>
        <v>-9.6008121967315008E-2</v>
      </c>
      <c r="P66" s="6">
        <f t="shared" si="3"/>
        <v>-6.0905218124389648E-3</v>
      </c>
      <c r="Q66" s="6">
        <f t="shared" si="4"/>
        <v>-4.9288332462310014E-2</v>
      </c>
    </row>
    <row r="67" spans="2:18" x14ac:dyDescent="0.3">
      <c r="B67" s="18"/>
      <c r="C67" s="18"/>
      <c r="D67" s="16"/>
      <c r="E67" s="15" t="s">
        <v>4</v>
      </c>
      <c r="F67" s="8">
        <v>1</v>
      </c>
      <c r="G67" s="8">
        <v>0.39563739299774098</v>
      </c>
      <c r="H67" s="8">
        <v>0.86998218297958296</v>
      </c>
      <c r="I67" s="8">
        <v>0.913052558898925</v>
      </c>
      <c r="J67" s="8">
        <v>0.891779005527496</v>
      </c>
      <c r="K67" s="9">
        <v>0.90999412536621005</v>
      </c>
      <c r="M67" s="2">
        <f t="shared" si="0"/>
        <v>2.4645626544952004E-2</v>
      </c>
      <c r="N67" s="3">
        <f t="shared" si="1"/>
        <v>5.0647854804989345E-3</v>
      </c>
      <c r="O67" s="3">
        <f t="shared" si="2"/>
        <v>1.8377482891081987E-2</v>
      </c>
      <c r="P67" s="3">
        <f t="shared" si="3"/>
        <v>5.1257014274600499E-3</v>
      </c>
      <c r="Q67" s="3">
        <f t="shared" si="4"/>
        <v>1.0472238063812034E-2</v>
      </c>
      <c r="R67" s="1" t="s">
        <v>26</v>
      </c>
    </row>
    <row r="68" spans="2:18" x14ac:dyDescent="0.3">
      <c r="B68" s="18"/>
      <c r="C68" s="18"/>
      <c r="D68" s="16"/>
      <c r="E68" s="15"/>
      <c r="F68">
        <v>3</v>
      </c>
      <c r="G68">
        <v>0.40822875499725297</v>
      </c>
      <c r="H68">
        <v>0.85371351242065396</v>
      </c>
      <c r="I68">
        <v>0.89308381080627397</v>
      </c>
      <c r="J68">
        <v>0.88214880228042603</v>
      </c>
      <c r="K68" s="10">
        <v>0.90302795171737604</v>
      </c>
      <c r="M68" s="4">
        <f t="shared" si="0"/>
        <v>-3.7468016147613026E-2</v>
      </c>
      <c r="N68">
        <f t="shared" si="1"/>
        <v>-3.0579328536987083E-2</v>
      </c>
      <c r="O68">
        <f t="shared" si="2"/>
        <v>-7.3603391647339977E-3</v>
      </c>
      <c r="P68">
        <f t="shared" si="3"/>
        <v>-1.6628861427307018E-2</v>
      </c>
      <c r="Q68">
        <f t="shared" si="4"/>
        <v>1.9931733608246072E-2</v>
      </c>
    </row>
    <row r="69" spans="2:18" x14ac:dyDescent="0.3">
      <c r="B69" s="18"/>
      <c r="C69" s="18"/>
      <c r="D69" s="16"/>
      <c r="E69" s="15"/>
      <c r="F69">
        <v>5</v>
      </c>
      <c r="G69">
        <v>0.33285868167877197</v>
      </c>
      <c r="H69">
        <v>0.89225757122039795</v>
      </c>
      <c r="I69">
        <v>0.85449397563934304</v>
      </c>
      <c r="J69">
        <v>0.89682650566100997</v>
      </c>
      <c r="K69" s="10">
        <v>0.87283682823181097</v>
      </c>
      <c r="M69" s="4">
        <f t="shared" si="0"/>
        <v>-0.17554938793182306</v>
      </c>
      <c r="N69">
        <f t="shared" si="1"/>
        <v>1.9350469112396906E-2</v>
      </c>
      <c r="O69">
        <f t="shared" si="2"/>
        <v>-4.6589374542235995E-2</v>
      </c>
      <c r="P69">
        <f t="shared" si="3"/>
        <v>-1.144814491272006E-2</v>
      </c>
      <c r="Q69">
        <f t="shared" si="4"/>
        <v>-2.7580261230469083E-2</v>
      </c>
    </row>
    <row r="70" spans="2:18" x14ac:dyDescent="0.3">
      <c r="B70" s="18"/>
      <c r="C70" s="18"/>
      <c r="D70" s="16"/>
      <c r="E70" s="15"/>
      <c r="F70">
        <v>7</v>
      </c>
      <c r="G70">
        <v>0.31736510992050099</v>
      </c>
      <c r="H70">
        <v>0.86195307970046997</v>
      </c>
      <c r="I70">
        <v>0.84793388843536299</v>
      </c>
      <c r="J70">
        <v>0.88744819164276101</v>
      </c>
      <c r="K70" s="10">
        <v>0.90457099676132202</v>
      </c>
      <c r="M70" s="4">
        <f t="shared" si="0"/>
        <v>-0.17277139425277699</v>
      </c>
      <c r="N70">
        <f t="shared" si="1"/>
        <v>-3.1194508075714E-2</v>
      </c>
      <c r="O70">
        <f t="shared" si="2"/>
        <v>-2.4077057838440052E-2</v>
      </c>
      <c r="P70">
        <f t="shared" si="3"/>
        <v>3.5395622253417969E-2</v>
      </c>
      <c r="Q70">
        <f t="shared" si="4"/>
        <v>0.11325812339782804</v>
      </c>
    </row>
    <row r="71" spans="2:18" ht="15" thickBot="1" x14ac:dyDescent="0.35">
      <c r="B71" s="18"/>
      <c r="C71" s="18"/>
      <c r="D71" s="16"/>
      <c r="E71" s="15"/>
      <c r="F71" s="11">
        <v>9</v>
      </c>
      <c r="G71" s="11">
        <v>0.32607150077819802</v>
      </c>
      <c r="H71" s="11">
        <v>0.34296005964279103</v>
      </c>
      <c r="I71" s="11">
        <v>0.84842687845230103</v>
      </c>
      <c r="J71" s="11">
        <v>0.84114634990692105</v>
      </c>
      <c r="K71" s="12">
        <v>0.85325628519058205</v>
      </c>
      <c r="M71" s="5">
        <f t="shared" si="0"/>
        <v>-0.21827936172485296</v>
      </c>
      <c r="N71" s="6">
        <f t="shared" si="1"/>
        <v>-0.51422446966171287</v>
      </c>
      <c r="O71" s="6">
        <f t="shared" si="2"/>
        <v>-3.5874903202055997E-2</v>
      </c>
      <c r="P71" s="6">
        <f t="shared" si="3"/>
        <v>-4.6945691108703946E-2</v>
      </c>
      <c r="Q71" s="6">
        <f t="shared" si="4"/>
        <v>2.7551829814911E-2</v>
      </c>
    </row>
    <row r="72" spans="2:18" x14ac:dyDescent="0.3">
      <c r="B72" s="18"/>
      <c r="C72" s="18"/>
      <c r="D72" s="16"/>
      <c r="E72" s="15" t="s">
        <v>5</v>
      </c>
      <c r="F72" s="8">
        <v>1</v>
      </c>
      <c r="G72" s="8">
        <v>0.50717914104461603</v>
      </c>
      <c r="H72" s="8">
        <v>0.86965632438659601</v>
      </c>
      <c r="I72" s="8">
        <v>0.90471214056015004</v>
      </c>
      <c r="J72" s="8">
        <v>0.89117956161499001</v>
      </c>
      <c r="K72" s="9">
        <v>0.89964389801025302</v>
      </c>
      <c r="M72" s="2">
        <f t="shared" si="0"/>
        <v>0.15357470512390103</v>
      </c>
      <c r="N72" s="3">
        <f t="shared" si="1"/>
        <v>-2.4456381797790971E-2</v>
      </c>
      <c r="O72" s="3">
        <f t="shared" si="2"/>
        <v>-1.217597723007191E-2</v>
      </c>
      <c r="P72" s="3">
        <f t="shared" si="3"/>
        <v>-9.0667009353639916E-3</v>
      </c>
      <c r="Q72" s="3">
        <f t="shared" si="4"/>
        <v>1.2760221958160067E-2</v>
      </c>
      <c r="R72" s="1" t="s">
        <v>30</v>
      </c>
    </row>
    <row r="73" spans="2:18" x14ac:dyDescent="0.3">
      <c r="B73" s="18"/>
      <c r="C73" s="18"/>
      <c r="D73" s="16"/>
      <c r="E73" s="15"/>
      <c r="F73">
        <v>3</v>
      </c>
      <c r="G73">
        <v>0.46420884132385198</v>
      </c>
      <c r="H73">
        <v>0.90749484300613403</v>
      </c>
      <c r="I73">
        <v>0.91603690385818404</v>
      </c>
      <c r="J73">
        <v>0.85883426666259699</v>
      </c>
      <c r="K73" s="10">
        <v>0.90831643342971802</v>
      </c>
      <c r="M73" s="4">
        <f t="shared" si="0"/>
        <v>-3.1616985797882025E-2</v>
      </c>
      <c r="N73">
        <f t="shared" si="1"/>
        <v>1.6589343547821045E-2</v>
      </c>
      <c r="O73">
        <f t="shared" si="2"/>
        <v>3.0130088329315075E-2</v>
      </c>
      <c r="P73">
        <f t="shared" si="3"/>
        <v>-3.2120048999787043E-2</v>
      </c>
      <c r="Q73">
        <f t="shared" si="4"/>
        <v>-1.0503768920897993E-2</v>
      </c>
    </row>
    <row r="74" spans="2:18" x14ac:dyDescent="0.3">
      <c r="B74" s="18"/>
      <c r="C74" s="18"/>
      <c r="D74" s="16"/>
      <c r="E74" s="15"/>
      <c r="F74">
        <v>5</v>
      </c>
      <c r="G74">
        <v>0.33904981613159102</v>
      </c>
      <c r="H74">
        <v>0.88086980581283503</v>
      </c>
      <c r="I74">
        <v>0.87131822109222401</v>
      </c>
      <c r="J74">
        <v>0.87601470947265603</v>
      </c>
      <c r="K74" s="10">
        <v>0.89708417654037398</v>
      </c>
      <c r="M74" s="4">
        <f t="shared" si="0"/>
        <v>-0.15233695507049599</v>
      </c>
      <c r="N74">
        <f t="shared" si="1"/>
        <v>4.0899753570555974E-2</v>
      </c>
      <c r="O74">
        <f t="shared" si="2"/>
        <v>-2.8504848480223943E-2</v>
      </c>
      <c r="P74">
        <f t="shared" si="3"/>
        <v>-1.2908577919006015E-2</v>
      </c>
      <c r="Q74">
        <f t="shared" si="4"/>
        <v>9.1838836669899671E-4</v>
      </c>
    </row>
    <row r="75" spans="2:18" x14ac:dyDescent="0.3">
      <c r="B75" s="18"/>
      <c r="C75" s="18"/>
      <c r="D75" s="16"/>
      <c r="E75" s="15"/>
      <c r="F75">
        <v>7</v>
      </c>
      <c r="G75">
        <v>0.36922091245651201</v>
      </c>
      <c r="H75">
        <v>0.89456546306610096</v>
      </c>
      <c r="I75">
        <v>0.89522367715835505</v>
      </c>
      <c r="J75">
        <v>0.86863064765930098</v>
      </c>
      <c r="K75" s="10">
        <v>0.87619525194168002</v>
      </c>
      <c r="M75" s="4">
        <f t="shared" si="0"/>
        <v>-0.11443698406219499</v>
      </c>
      <c r="N75">
        <f t="shared" si="1"/>
        <v>0.10795468091964799</v>
      </c>
      <c r="O75">
        <f t="shared" si="2"/>
        <v>6.8352818489070266E-3</v>
      </c>
      <c r="P75">
        <f t="shared" si="3"/>
        <v>-6.7979097366399621E-4</v>
      </c>
      <c r="Q75">
        <f t="shared" si="4"/>
        <v>2.5962412357329989E-2</v>
      </c>
    </row>
    <row r="76" spans="2:18" ht="15" thickBot="1" x14ac:dyDescent="0.35">
      <c r="B76" s="19"/>
      <c r="C76" s="19"/>
      <c r="D76" s="16"/>
      <c r="E76" s="15"/>
      <c r="F76" s="11">
        <v>9</v>
      </c>
      <c r="G76" s="11">
        <v>0.26163172721862699</v>
      </c>
      <c r="H76" s="11">
        <v>0.80874669551849299</v>
      </c>
      <c r="I76" s="11">
        <v>0.84136039018630904</v>
      </c>
      <c r="J76" s="11">
        <v>0.826310634613037</v>
      </c>
      <c r="K76" s="12">
        <v>0.87748634815215998</v>
      </c>
      <c r="M76" s="5">
        <f t="shared" si="0"/>
        <v>-0.258832156658173</v>
      </c>
      <c r="N76" s="6">
        <f t="shared" si="1"/>
        <v>-5.3254127502441961E-2</v>
      </c>
      <c r="O76" s="6">
        <f t="shared" si="2"/>
        <v>1.6744911670684037E-2</v>
      </c>
      <c r="P76" s="6">
        <f t="shared" si="3"/>
        <v>-5.5450797080992986E-2</v>
      </c>
      <c r="Q76" s="6">
        <f t="shared" si="4"/>
        <v>9.1229498386382946E-2</v>
      </c>
    </row>
    <row r="77" spans="2:18" x14ac:dyDescent="0.3">
      <c r="B77" s="15" t="s">
        <v>39</v>
      </c>
      <c r="C77" s="22" t="s">
        <v>40</v>
      </c>
      <c r="D77" s="16" t="s">
        <v>37</v>
      </c>
      <c r="E77" s="15" t="s">
        <v>15</v>
      </c>
      <c r="F77" s="8">
        <v>1</v>
      </c>
      <c r="G77" s="8">
        <v>0.414725482463836</v>
      </c>
      <c r="H77" s="8">
        <v>0.84242612123489302</v>
      </c>
      <c r="I77" s="8">
        <v>0.88654184341430597</v>
      </c>
      <c r="J77" s="8">
        <v>0.89957952499389604</v>
      </c>
      <c r="K77" s="9">
        <v>0.88758003711700395</v>
      </c>
      <c r="M77" s="2">
        <f t="shared" ref="M77:M101" si="5">IF(G77=0,"", G77-G17)</f>
        <v>3.4192740917205977E-2</v>
      </c>
      <c r="N77" s="3">
        <f t="shared" ref="N77:N101" si="6">IF(H77=0,"", H77-H17)</f>
        <v>-3.7202119827270952E-2</v>
      </c>
      <c r="O77" s="3">
        <f t="shared" ref="O77:O101" si="7">IF(I77=0,"", I77-I17)</f>
        <v>7.8923702239990234E-3</v>
      </c>
      <c r="P77" s="3">
        <f t="shared" ref="P77:P101" si="8">IF(J77=0,"", J77-J17)</f>
        <v>1.4743506908417081E-2</v>
      </c>
      <c r="Q77" s="3">
        <f t="shared" ref="Q77:Q101" si="9">IF(K77=0,"", K77-K17)</f>
        <v>1.1325120925902987E-2</v>
      </c>
      <c r="R77" s="1" t="s">
        <v>16</v>
      </c>
    </row>
    <row r="78" spans="2:18" x14ac:dyDescent="0.3">
      <c r="B78" s="15"/>
      <c r="C78" s="18"/>
      <c r="D78" s="16"/>
      <c r="E78" s="15"/>
      <c r="F78">
        <v>3</v>
      </c>
      <c r="G78">
        <v>0.470324337482452</v>
      </c>
      <c r="H78">
        <v>0.83882761001586903</v>
      </c>
      <c r="I78">
        <v>0.87828570604324296</v>
      </c>
      <c r="J78">
        <v>0.86314976215362504</v>
      </c>
      <c r="K78" s="10">
        <v>0.82901126146316495</v>
      </c>
      <c r="M78" s="4">
        <f t="shared" si="5"/>
        <v>7.161319255829024E-3</v>
      </c>
      <c r="N78">
        <f t="shared" si="6"/>
        <v>-3.0761122703552024E-2</v>
      </c>
      <c r="O78">
        <f t="shared" si="7"/>
        <v>-1.4613091945648082E-2</v>
      </c>
      <c r="P78">
        <f t="shared" si="8"/>
        <v>-2.4683773517608976E-2</v>
      </c>
      <c r="Q78">
        <f t="shared" si="9"/>
        <v>-6.5134823322296032E-2</v>
      </c>
    </row>
    <row r="79" spans="2:18" x14ac:dyDescent="0.3">
      <c r="B79" s="15"/>
      <c r="C79" s="18"/>
      <c r="D79" s="16"/>
      <c r="E79" s="15"/>
      <c r="F79">
        <v>5</v>
      </c>
      <c r="G79">
        <v>0.57935786247253396</v>
      </c>
      <c r="H79">
        <v>0.81797486543655396</v>
      </c>
      <c r="I79">
        <v>0.78175169229507402</v>
      </c>
      <c r="J79">
        <v>0.78174436092376698</v>
      </c>
      <c r="K79" s="10">
        <v>0.82830023765563898</v>
      </c>
      <c r="M79" s="4">
        <f t="shared" si="5"/>
        <v>8.040094375610396E-2</v>
      </c>
      <c r="N79">
        <f t="shared" si="6"/>
        <v>-7.8344404697417991E-2</v>
      </c>
      <c r="O79">
        <f t="shared" si="7"/>
        <v>-0.10305929183959994</v>
      </c>
      <c r="P79">
        <f t="shared" si="8"/>
        <v>-9.3151807785034069E-2</v>
      </c>
      <c r="Q79">
        <f t="shared" si="9"/>
        <v>-7.6894700527191051E-2</v>
      </c>
    </row>
    <row r="80" spans="2:18" x14ac:dyDescent="0.3">
      <c r="B80" s="15"/>
      <c r="C80" s="18"/>
      <c r="D80" s="16"/>
      <c r="E80" s="15"/>
      <c r="F80">
        <v>7</v>
      </c>
      <c r="G80">
        <v>0.59991598129272405</v>
      </c>
      <c r="H80">
        <v>0.83765864372253396</v>
      </c>
      <c r="I80">
        <v>0.8344087600708</v>
      </c>
      <c r="J80">
        <v>0.78354460000991799</v>
      </c>
      <c r="K80" s="10">
        <v>0.86276113986968905</v>
      </c>
      <c r="M80" s="4">
        <f t="shared" si="5"/>
        <v>0.13775086402893105</v>
      </c>
      <c r="N80">
        <f t="shared" si="6"/>
        <v>-2.6957392692560367E-3</v>
      </c>
      <c r="O80">
        <f t="shared" si="7"/>
        <v>-5.8555305004119984E-2</v>
      </c>
      <c r="P80">
        <f t="shared" si="8"/>
        <v>-7.8057229518890048E-2</v>
      </c>
      <c r="Q80">
        <f t="shared" si="9"/>
        <v>7.4995994567871094E-2</v>
      </c>
    </row>
    <row r="81" spans="2:18" ht="15" thickBot="1" x14ac:dyDescent="0.35">
      <c r="B81" s="15"/>
      <c r="C81" s="18"/>
      <c r="D81" s="16"/>
      <c r="E81" s="15"/>
      <c r="F81" s="11">
        <v>9</v>
      </c>
      <c r="G81" s="11">
        <v>0.60615921020507801</v>
      </c>
      <c r="H81" s="11">
        <v>0.83093112707137995</v>
      </c>
      <c r="I81" s="11">
        <v>0.82561218738555897</v>
      </c>
      <c r="J81" s="11">
        <v>0.82316058874130205</v>
      </c>
      <c r="K81" s="12">
        <v>0.85033202171325595</v>
      </c>
      <c r="M81" s="5">
        <f t="shared" si="5"/>
        <v>0.12294727563858099</v>
      </c>
      <c r="N81" s="6">
        <f t="shared" si="6"/>
        <v>-3.7845373153687079E-2</v>
      </c>
      <c r="O81" s="6">
        <f t="shared" si="7"/>
        <v>-1.4547884464264027E-2</v>
      </c>
      <c r="P81" s="6">
        <f t="shared" si="8"/>
        <v>-6.8761348724364901E-2</v>
      </c>
      <c r="Q81" s="6">
        <f t="shared" si="9"/>
        <v>-1.0121703147889072E-2</v>
      </c>
    </row>
    <row r="82" spans="2:18" x14ac:dyDescent="0.3">
      <c r="B82" s="15"/>
      <c r="C82" s="18"/>
      <c r="D82" s="16"/>
      <c r="E82" s="15" t="s">
        <v>19</v>
      </c>
      <c r="F82" s="8">
        <v>1</v>
      </c>
      <c r="G82" s="8">
        <v>0.47321134805679299</v>
      </c>
      <c r="H82" s="8">
        <v>0.88573533296585005</v>
      </c>
      <c r="I82" s="8">
        <v>0.89565891027450495</v>
      </c>
      <c r="J82" s="8">
        <v>0.89672684669494596</v>
      </c>
      <c r="K82" s="9">
        <v>0.90183663368225098</v>
      </c>
      <c r="M82" s="2">
        <f t="shared" si="5"/>
        <v>0.14103376865387002</v>
      </c>
      <c r="N82" s="3">
        <f t="shared" si="6"/>
        <v>1.139819622039806E-2</v>
      </c>
      <c r="O82" s="3">
        <f t="shared" si="7"/>
        <v>-3.1292438507080078E-3</v>
      </c>
      <c r="P82" s="3">
        <f t="shared" si="8"/>
        <v>-1.1624038219452015E-2</v>
      </c>
      <c r="Q82" s="3">
        <f t="shared" si="9"/>
        <v>6.6884160041810192E-3</v>
      </c>
      <c r="R82" s="1" t="s">
        <v>20</v>
      </c>
    </row>
    <row r="83" spans="2:18" x14ac:dyDescent="0.3">
      <c r="B83" s="15"/>
      <c r="C83" s="18"/>
      <c r="D83" s="16"/>
      <c r="E83" s="15"/>
      <c r="F83">
        <v>3</v>
      </c>
      <c r="G83">
        <v>0.52257239818572998</v>
      </c>
      <c r="H83">
        <v>0.86013633012771595</v>
      </c>
      <c r="I83">
        <v>0.89113253355026201</v>
      </c>
      <c r="J83">
        <v>0.86036068201064997</v>
      </c>
      <c r="K83" s="10">
        <v>0.852208912372589</v>
      </c>
      <c r="M83" s="4">
        <f t="shared" si="5"/>
        <v>0.13841336965560996</v>
      </c>
      <c r="N83">
        <f t="shared" si="6"/>
        <v>-1.0433614253997026E-2</v>
      </c>
      <c r="O83">
        <f t="shared" si="7"/>
        <v>-6.7334175109859951E-3</v>
      </c>
      <c r="P83">
        <f t="shared" si="8"/>
        <v>-4.2485296726227029E-2</v>
      </c>
      <c r="Q83">
        <f t="shared" si="9"/>
        <v>-1.7217993736260429E-3</v>
      </c>
    </row>
    <row r="84" spans="2:18" x14ac:dyDescent="0.3">
      <c r="B84" s="15"/>
      <c r="C84" s="18"/>
      <c r="D84" s="16"/>
      <c r="E84" s="15"/>
      <c r="F84">
        <v>5</v>
      </c>
      <c r="G84">
        <v>0.56756138801574696</v>
      </c>
      <c r="H84">
        <v>0.87569743394851596</v>
      </c>
      <c r="I84">
        <v>0.89414250850677401</v>
      </c>
      <c r="J84">
        <v>0.87064790725707997</v>
      </c>
      <c r="K84" s="10">
        <v>0.88692921400070102</v>
      </c>
      <c r="M84" s="4">
        <f t="shared" si="5"/>
        <v>5.2584111690521906E-2</v>
      </c>
      <c r="N84">
        <f t="shared" si="6"/>
        <v>1.8567264080046941E-2</v>
      </c>
      <c r="O84">
        <f t="shared" si="7"/>
        <v>-2.607107162475597E-2</v>
      </c>
      <c r="P84">
        <f t="shared" si="8"/>
        <v>-1.6332328319549005E-2</v>
      </c>
      <c r="Q84">
        <f t="shared" si="9"/>
        <v>-2.248966693878196E-2</v>
      </c>
    </row>
    <row r="85" spans="2:18" x14ac:dyDescent="0.3">
      <c r="B85" s="15"/>
      <c r="C85" s="18"/>
      <c r="D85" s="16"/>
      <c r="E85" s="15"/>
      <c r="F85">
        <v>7</v>
      </c>
      <c r="G85">
        <v>0.61052668094634999</v>
      </c>
      <c r="H85">
        <v>0.87449663877487105</v>
      </c>
      <c r="I85">
        <v>0.847858786582946</v>
      </c>
      <c r="J85">
        <v>0.85573470592498702</v>
      </c>
      <c r="K85" s="10">
        <v>0.87921488285064697</v>
      </c>
      <c r="M85" s="4">
        <f t="shared" si="5"/>
        <v>9.3160748481750932E-2</v>
      </c>
      <c r="N85">
        <f t="shared" si="6"/>
        <v>3.3708274364471102E-2</v>
      </c>
      <c r="O85">
        <f t="shared" si="7"/>
        <v>-7.6033115386963002E-2</v>
      </c>
      <c r="P85">
        <f t="shared" si="8"/>
        <v>-3.8370311260223944E-2</v>
      </c>
      <c r="Q85">
        <f t="shared" si="9"/>
        <v>1.2542366981507014E-2</v>
      </c>
    </row>
    <row r="86" spans="2:18" ht="15" thickBot="1" x14ac:dyDescent="0.35">
      <c r="B86" s="15"/>
      <c r="C86" s="18"/>
      <c r="D86" s="16"/>
      <c r="E86" s="15"/>
      <c r="F86" s="11">
        <v>9</v>
      </c>
      <c r="G86" s="11">
        <v>0.60718816518783503</v>
      </c>
      <c r="H86" s="11">
        <v>0.84224474430084195</v>
      </c>
      <c r="I86" s="11">
        <v>0.87010371685027998</v>
      </c>
      <c r="J86" s="11">
        <v>0.88433873653411799</v>
      </c>
      <c r="K86" s="12">
        <v>0.86165696382522505</v>
      </c>
      <c r="M86" s="5">
        <f t="shared" si="5"/>
        <v>6.5495610237121027E-2</v>
      </c>
      <c r="N86" s="6">
        <f t="shared" si="6"/>
        <v>-1.2811839580536E-2</v>
      </c>
      <c r="O86" s="6">
        <f t="shared" si="7"/>
        <v>-3.4994840621949019E-2</v>
      </c>
      <c r="P86" s="6">
        <f t="shared" si="8"/>
        <v>2.1357536315920189E-3</v>
      </c>
      <c r="Q86" s="6">
        <f t="shared" si="9"/>
        <v>5.825221538543035E-3</v>
      </c>
    </row>
    <row r="87" spans="2:18" x14ac:dyDescent="0.3">
      <c r="B87" s="15"/>
      <c r="C87" s="18"/>
      <c r="D87" s="16"/>
      <c r="E87" s="15" t="s">
        <v>23</v>
      </c>
      <c r="F87" s="8">
        <v>1</v>
      </c>
      <c r="G87" s="8">
        <v>0.44491177797317499</v>
      </c>
      <c r="H87" s="8">
        <v>0.87472319602966297</v>
      </c>
      <c r="I87" s="8">
        <v>0.87673509120941095</v>
      </c>
      <c r="J87" s="8">
        <v>0.897519290447235</v>
      </c>
      <c r="K87" s="9">
        <v>0.89121329784393299</v>
      </c>
      <c r="M87" s="2">
        <f t="shared" si="5"/>
        <v>0.13238269090652499</v>
      </c>
      <c r="N87" s="3">
        <f t="shared" si="6"/>
        <v>-1.0542213916778009E-2</v>
      </c>
      <c r="O87" s="3">
        <f t="shared" si="7"/>
        <v>-7.9804062843320533E-3</v>
      </c>
      <c r="P87" s="3">
        <f t="shared" si="8"/>
        <v>-5.2771568298339844E-3</v>
      </c>
      <c r="Q87" s="3">
        <f t="shared" si="9"/>
        <v>-1.57952308654008E-4</v>
      </c>
      <c r="R87" s="1" t="s">
        <v>24</v>
      </c>
    </row>
    <row r="88" spans="2:18" x14ac:dyDescent="0.3">
      <c r="B88" s="15"/>
      <c r="C88" s="18"/>
      <c r="D88" s="16"/>
      <c r="E88" s="15"/>
      <c r="F88">
        <v>3</v>
      </c>
      <c r="G88">
        <v>0.54026758670806796</v>
      </c>
      <c r="H88">
        <v>0.89568173885345403</v>
      </c>
      <c r="I88">
        <v>0.88726556301116899</v>
      </c>
      <c r="J88">
        <v>0.87252438068389804</v>
      </c>
      <c r="K88" s="10">
        <v>0.85950708389282204</v>
      </c>
      <c r="M88" s="4">
        <f t="shared" si="5"/>
        <v>-2.1446943283081055E-2</v>
      </c>
      <c r="N88">
        <f t="shared" si="6"/>
        <v>1.6795992851260655E-3</v>
      </c>
      <c r="O88">
        <f t="shared" si="7"/>
        <v>1.0058999061584029E-2</v>
      </c>
      <c r="P88">
        <f t="shared" si="8"/>
        <v>-1.7283082008361927E-2</v>
      </c>
      <c r="Q88">
        <f t="shared" si="9"/>
        <v>-5.2688419818877952E-2</v>
      </c>
    </row>
    <row r="89" spans="2:18" x14ac:dyDescent="0.3">
      <c r="B89" s="15"/>
      <c r="C89" s="18"/>
      <c r="D89" s="16"/>
      <c r="E89" s="15"/>
      <c r="F89">
        <v>5</v>
      </c>
      <c r="G89">
        <v>0.55059325695037797</v>
      </c>
      <c r="H89">
        <v>0.854888975620269</v>
      </c>
      <c r="I89">
        <v>0.88141787052154497</v>
      </c>
      <c r="J89">
        <v>0.90904301404953003</v>
      </c>
      <c r="K89" s="10">
        <v>0.86325132846832198</v>
      </c>
      <c r="M89" s="4">
        <f t="shared" si="5"/>
        <v>-1.3438940048217995E-2</v>
      </c>
      <c r="N89">
        <f t="shared" si="6"/>
        <v>-2.5215506553650013E-2</v>
      </c>
      <c r="O89">
        <f t="shared" si="7"/>
        <v>-9.1533660888670765E-3</v>
      </c>
      <c r="P89">
        <f t="shared" si="8"/>
        <v>1.3128757476807085E-2</v>
      </c>
      <c r="Q89">
        <f t="shared" si="9"/>
        <v>2.5942325592039905E-3</v>
      </c>
    </row>
    <row r="90" spans="2:18" x14ac:dyDescent="0.3">
      <c r="B90" s="15"/>
      <c r="C90" s="18"/>
      <c r="D90" s="16"/>
      <c r="E90" s="15"/>
      <c r="F90">
        <v>7</v>
      </c>
      <c r="G90">
        <v>0.62351483106613104</v>
      </c>
      <c r="H90">
        <v>0.79993963241577104</v>
      </c>
      <c r="I90">
        <v>0.834600389003753</v>
      </c>
      <c r="J90">
        <v>0.866590917110443</v>
      </c>
      <c r="K90" s="10">
        <v>0.90765267610549905</v>
      </c>
      <c r="M90" s="4">
        <f t="shared" si="5"/>
        <v>3.790110349655107E-2</v>
      </c>
      <c r="N90">
        <f t="shared" si="6"/>
        <v>-8.6123287677765004E-2</v>
      </c>
      <c r="O90">
        <f t="shared" si="7"/>
        <v>-5.0791978836060014E-2</v>
      </c>
      <c r="P90">
        <f t="shared" si="8"/>
        <v>-3.3766925334929976E-2</v>
      </c>
      <c r="Q90">
        <f t="shared" si="9"/>
        <v>3.3584654331207053E-2</v>
      </c>
    </row>
    <row r="91" spans="2:18" ht="15" thickBot="1" x14ac:dyDescent="0.35">
      <c r="B91" s="15"/>
      <c r="C91" s="18"/>
      <c r="D91" s="16"/>
      <c r="E91" s="15"/>
      <c r="F91" s="11">
        <v>9</v>
      </c>
      <c r="G91" s="11">
        <v>0.66354560852050704</v>
      </c>
      <c r="H91" s="11">
        <v>0.863444924354553</v>
      </c>
      <c r="I91" s="11">
        <v>0.842054843902587</v>
      </c>
      <c r="J91" s="11">
        <v>0.89874291419982899</v>
      </c>
      <c r="K91" s="12">
        <v>0.85443091392517001</v>
      </c>
      <c r="M91" s="5">
        <f t="shared" si="5"/>
        <v>8.190238475799505E-2</v>
      </c>
      <c r="N91" s="6">
        <f t="shared" si="6"/>
        <v>4.0547251701360532E-3</v>
      </c>
      <c r="O91" s="6">
        <f t="shared" si="7"/>
        <v>-2.9570221900940052E-2</v>
      </c>
      <c r="P91" s="6">
        <f t="shared" si="8"/>
        <v>3.0630886554718018E-2</v>
      </c>
      <c r="Q91" s="6">
        <f t="shared" si="9"/>
        <v>-2.0703136920928955E-2</v>
      </c>
    </row>
    <row r="92" spans="2:18" x14ac:dyDescent="0.3">
      <c r="B92" s="15"/>
      <c r="C92" s="18"/>
      <c r="D92" s="16"/>
      <c r="E92" s="15" t="s">
        <v>27</v>
      </c>
      <c r="F92" s="8">
        <v>1</v>
      </c>
      <c r="G92" s="8">
        <v>0.37814307212829501</v>
      </c>
      <c r="H92" s="8">
        <v>0.883522629737854</v>
      </c>
      <c r="I92" s="8">
        <v>0.88687247037887496</v>
      </c>
      <c r="J92" s="8">
        <v>0.90588617324829102</v>
      </c>
      <c r="K92" s="9">
        <v>0.912583768367767</v>
      </c>
      <c r="M92" s="2">
        <f t="shared" si="5"/>
        <v>7.1513056755060367E-3</v>
      </c>
      <c r="N92" s="3">
        <f t="shared" si="6"/>
        <v>1.8605232238769975E-2</v>
      </c>
      <c r="O92" s="3">
        <f t="shared" si="7"/>
        <v>-7.8026056289680623E-3</v>
      </c>
      <c r="P92" s="3">
        <f t="shared" si="8"/>
        <v>1.9232869148255061E-2</v>
      </c>
      <c r="Q92" s="3">
        <f t="shared" si="9"/>
        <v>1.3061881065368985E-2</v>
      </c>
      <c r="R92" s="1" t="s">
        <v>28</v>
      </c>
    </row>
    <row r="93" spans="2:18" x14ac:dyDescent="0.3">
      <c r="B93" s="15"/>
      <c r="C93" s="18"/>
      <c r="D93" s="16"/>
      <c r="E93" s="15"/>
      <c r="F93">
        <v>3</v>
      </c>
      <c r="G93">
        <v>0.52387118339538497</v>
      </c>
      <c r="H93">
        <v>0.90532916784286499</v>
      </c>
      <c r="I93">
        <v>0.88003057241439797</v>
      </c>
      <c r="J93">
        <v>0.88536190986633301</v>
      </c>
      <c r="K93" s="10">
        <v>0.89276289939880304</v>
      </c>
      <c r="M93" s="4">
        <f t="shared" si="5"/>
        <v>7.8174412250518965E-2</v>
      </c>
      <c r="N93">
        <f t="shared" si="6"/>
        <v>2.1036326885223944E-2</v>
      </c>
      <c r="O93">
        <f t="shared" si="7"/>
        <v>-2.0413577556609996E-2</v>
      </c>
      <c r="P93">
        <f t="shared" si="8"/>
        <v>-1.3415753841400035E-2</v>
      </c>
      <c r="Q93">
        <f t="shared" si="9"/>
        <v>9.6666812896730736E-3</v>
      </c>
    </row>
    <row r="94" spans="2:18" x14ac:dyDescent="0.3">
      <c r="B94" s="15"/>
      <c r="C94" s="18"/>
      <c r="D94" s="16"/>
      <c r="E94" s="15"/>
      <c r="F94">
        <v>5</v>
      </c>
      <c r="G94">
        <v>0.55739402770996005</v>
      </c>
      <c r="H94">
        <v>0.892450392246246</v>
      </c>
      <c r="I94">
        <v>0.86611807346343905</v>
      </c>
      <c r="J94">
        <v>0.82425284385681097</v>
      </c>
      <c r="K94" s="10">
        <v>0.84060198068618697</v>
      </c>
      <c r="M94" s="4">
        <f t="shared" si="5"/>
        <v>4.8985958099365012E-2</v>
      </c>
      <c r="N94">
        <f t="shared" si="6"/>
        <v>1.9543290138244962E-2</v>
      </c>
      <c r="O94">
        <f t="shared" si="7"/>
        <v>-3.4965276718139982E-2</v>
      </c>
      <c r="P94">
        <f t="shared" si="8"/>
        <v>-8.4021806716919056E-2</v>
      </c>
      <c r="Q94">
        <f t="shared" si="9"/>
        <v>-5.9815108776093084E-2</v>
      </c>
    </row>
    <row r="95" spans="2:18" x14ac:dyDescent="0.3">
      <c r="B95" s="15"/>
      <c r="C95" s="18"/>
      <c r="D95" s="16"/>
      <c r="E95" s="15"/>
      <c r="F95">
        <v>7</v>
      </c>
      <c r="G95">
        <v>0.59132647514343195</v>
      </c>
      <c r="H95">
        <v>0.89773553609848</v>
      </c>
      <c r="I95">
        <v>0.88619065284729004</v>
      </c>
      <c r="J95">
        <v>0.85043859481811501</v>
      </c>
      <c r="K95" s="10">
        <v>0.88491863012313798</v>
      </c>
      <c r="M95" s="4">
        <f t="shared" si="5"/>
        <v>0.10118997097015398</v>
      </c>
      <c r="N95">
        <f t="shared" si="6"/>
        <v>4.5879483222960316E-3</v>
      </c>
      <c r="O95">
        <f t="shared" si="7"/>
        <v>1.4179706573486994E-2</v>
      </c>
      <c r="P95">
        <f t="shared" si="8"/>
        <v>-1.6139745712280273E-3</v>
      </c>
      <c r="Q95">
        <f t="shared" si="9"/>
        <v>9.3605756759643999E-2</v>
      </c>
    </row>
    <row r="96" spans="2:18" ht="15" thickBot="1" x14ac:dyDescent="0.35">
      <c r="B96" s="15"/>
      <c r="C96" s="18"/>
      <c r="D96" s="16"/>
      <c r="E96" s="15"/>
      <c r="F96" s="11">
        <v>9</v>
      </c>
      <c r="G96" s="11">
        <v>0.66352379322052002</v>
      </c>
      <c r="H96" s="11">
        <v>0.87464678287506104</v>
      </c>
      <c r="I96" s="11">
        <v>0.862374126911163</v>
      </c>
      <c r="J96" s="11">
        <v>0.84954595565795898</v>
      </c>
      <c r="K96" s="12">
        <v>0.841039419174194</v>
      </c>
      <c r="M96" s="5">
        <f t="shared" si="5"/>
        <v>0.11917293071746904</v>
      </c>
      <c r="N96" s="6">
        <f t="shared" si="6"/>
        <v>1.7462253570557085E-2</v>
      </c>
      <c r="O96" s="6">
        <f t="shared" si="7"/>
        <v>-2.1927654743194025E-2</v>
      </c>
      <c r="P96" s="6">
        <f t="shared" si="8"/>
        <v>-3.8546085357666016E-2</v>
      </c>
      <c r="Q96" s="6">
        <f t="shared" si="9"/>
        <v>1.5334963798522949E-2</v>
      </c>
    </row>
    <row r="97" spans="2:18" x14ac:dyDescent="0.3">
      <c r="B97" s="15"/>
      <c r="C97" s="18"/>
      <c r="D97" s="16"/>
      <c r="E97" s="15" t="s">
        <v>31</v>
      </c>
      <c r="F97" s="8">
        <v>1</v>
      </c>
      <c r="G97" s="8">
        <v>0.27263808250427202</v>
      </c>
      <c r="H97" s="8">
        <v>0.87435644865036</v>
      </c>
      <c r="I97" s="8">
        <v>0.90451776981353704</v>
      </c>
      <c r="J97" s="8">
        <v>0.91073787212371804</v>
      </c>
      <c r="K97" s="9">
        <v>0.86423695087432795</v>
      </c>
      <c r="M97" s="2">
        <f t="shared" si="5"/>
        <v>-8.0966353416442982E-2</v>
      </c>
      <c r="N97" s="3">
        <f t="shared" si="6"/>
        <v>-1.9756257534026989E-2</v>
      </c>
      <c r="O97" s="3">
        <f t="shared" si="7"/>
        <v>-1.2370347976684903E-2</v>
      </c>
      <c r="P97" s="3">
        <f t="shared" si="8"/>
        <v>1.0491609573364036E-2</v>
      </c>
      <c r="Q97" s="3">
        <f t="shared" si="9"/>
        <v>-2.2646725177765004E-2</v>
      </c>
      <c r="R97" s="1" t="s">
        <v>32</v>
      </c>
    </row>
    <row r="98" spans="2:18" x14ac:dyDescent="0.3">
      <c r="B98" s="15"/>
      <c r="C98" s="18"/>
      <c r="D98" s="16"/>
      <c r="E98" s="15"/>
      <c r="F98">
        <v>3</v>
      </c>
      <c r="G98">
        <v>0.46428364515304499</v>
      </c>
      <c r="H98">
        <v>0.90814638137817305</v>
      </c>
      <c r="I98">
        <v>0.88748669624328602</v>
      </c>
      <c r="J98">
        <v>0.87161684036254805</v>
      </c>
      <c r="K98" s="10">
        <v>0.88007390499114901</v>
      </c>
      <c r="M98" s="4">
        <f t="shared" si="5"/>
        <v>-3.154218196868902E-2</v>
      </c>
      <c r="N98">
        <f t="shared" si="6"/>
        <v>1.7240881919860063E-2</v>
      </c>
      <c r="O98">
        <f t="shared" si="7"/>
        <v>1.579880714417059E-3</v>
      </c>
      <c r="P98">
        <f t="shared" si="8"/>
        <v>-1.9337475299835982E-2</v>
      </c>
      <c r="Q98">
        <f t="shared" si="9"/>
        <v>-3.8746297359466997E-2</v>
      </c>
    </row>
    <row r="99" spans="2:18" x14ac:dyDescent="0.3">
      <c r="B99" s="15"/>
      <c r="C99" s="18"/>
      <c r="D99" s="16"/>
      <c r="E99" s="15"/>
      <c r="F99">
        <v>5</v>
      </c>
      <c r="G99">
        <v>0.54187405109405495</v>
      </c>
      <c r="H99">
        <v>0.90457838773727395</v>
      </c>
      <c r="I99">
        <v>0.85359543561935403</v>
      </c>
      <c r="J99">
        <v>0.86748337745666504</v>
      </c>
      <c r="K99" s="10">
        <v>0.860135078430175</v>
      </c>
      <c r="M99" s="4">
        <f t="shared" si="5"/>
        <v>5.048727989196794E-2</v>
      </c>
      <c r="N99">
        <f t="shared" si="6"/>
        <v>6.4608335494994895E-2</v>
      </c>
      <c r="O99">
        <f t="shared" si="7"/>
        <v>-4.6227633953093927E-2</v>
      </c>
      <c r="P99">
        <f t="shared" si="8"/>
        <v>-2.1439909934997003E-2</v>
      </c>
      <c r="Q99">
        <f t="shared" si="9"/>
        <v>-3.6030709743499978E-2</v>
      </c>
    </row>
    <row r="100" spans="2:18" x14ac:dyDescent="0.3">
      <c r="B100" s="15"/>
      <c r="C100" s="18"/>
      <c r="D100" s="16"/>
      <c r="E100" s="15"/>
      <c r="F100">
        <v>7</v>
      </c>
      <c r="G100">
        <v>0.60349988937377896</v>
      </c>
      <c r="H100">
        <v>0.90866529941558805</v>
      </c>
      <c r="I100">
        <v>0.79244029521942105</v>
      </c>
      <c r="J100">
        <v>0.84388673305511397</v>
      </c>
      <c r="K100" s="10">
        <v>0.88215112686157204</v>
      </c>
      <c r="M100" s="4">
        <f t="shared" si="5"/>
        <v>0.11984199285507197</v>
      </c>
      <c r="N100">
        <f t="shared" si="6"/>
        <v>0.12205451726913508</v>
      </c>
      <c r="O100">
        <f t="shared" si="7"/>
        <v>-9.5948100090026966E-2</v>
      </c>
      <c r="P100">
        <f t="shared" si="8"/>
        <v>-2.5423705577851008E-2</v>
      </c>
      <c r="Q100">
        <f t="shared" si="9"/>
        <v>3.1918287277222013E-2</v>
      </c>
    </row>
    <row r="101" spans="2:18" ht="15" thickBot="1" x14ac:dyDescent="0.35">
      <c r="B101" s="15"/>
      <c r="C101" s="19"/>
      <c r="D101" s="16"/>
      <c r="E101" s="15"/>
      <c r="F101" s="11">
        <v>9</v>
      </c>
      <c r="G101" s="11">
        <v>0.68962216377258301</v>
      </c>
      <c r="H101" s="11">
        <v>0.78561264276504505</v>
      </c>
      <c r="I101" s="11">
        <v>0.86338144540786699</v>
      </c>
      <c r="J101" s="11">
        <v>0.86612677574157704</v>
      </c>
      <c r="K101" s="12">
        <v>0.90508526563644398</v>
      </c>
      <c r="M101" s="5">
        <f t="shared" si="5"/>
        <v>0.16915827989578303</v>
      </c>
      <c r="N101" s="6">
        <f t="shared" si="6"/>
        <v>-7.6388180255889893E-2</v>
      </c>
      <c r="O101" s="6">
        <f t="shared" si="7"/>
        <v>3.8765966892241988E-2</v>
      </c>
      <c r="P101" s="6">
        <f t="shared" si="8"/>
        <v>-1.5634655952452947E-2</v>
      </c>
      <c r="Q101" s="6">
        <f t="shared" si="9"/>
        <v>0.11882841587066695</v>
      </c>
    </row>
  </sheetData>
  <mergeCells count="33">
    <mergeCell ref="D77:D101"/>
    <mergeCell ref="B77:B101"/>
    <mergeCell ref="D3:D6"/>
    <mergeCell ref="D7:D11"/>
    <mergeCell ref="D12:D41"/>
    <mergeCell ref="D42:D46"/>
    <mergeCell ref="D47:D76"/>
    <mergeCell ref="C7:C41"/>
    <mergeCell ref="C2:C6"/>
    <mergeCell ref="C42:C76"/>
    <mergeCell ref="C77:C101"/>
    <mergeCell ref="B7:B76"/>
    <mergeCell ref="B2:B6"/>
    <mergeCell ref="E2:E6"/>
    <mergeCell ref="E7:E11"/>
    <mergeCell ref="E12:E16"/>
    <mergeCell ref="E17:E21"/>
    <mergeCell ref="E22:E26"/>
    <mergeCell ref="E27:E31"/>
    <mergeCell ref="E32:E36"/>
    <mergeCell ref="E37:E41"/>
    <mergeCell ref="E42:E46"/>
    <mergeCell ref="E47:E51"/>
    <mergeCell ref="E52:E56"/>
    <mergeCell ref="E57:E61"/>
    <mergeCell ref="E62:E66"/>
    <mergeCell ref="E67:E71"/>
    <mergeCell ref="E72:E76"/>
    <mergeCell ref="E77:E81"/>
    <mergeCell ref="E82:E86"/>
    <mergeCell ref="E87:E91"/>
    <mergeCell ref="E92:E96"/>
    <mergeCell ref="E97:E101"/>
  </mergeCells>
  <phoneticPr fontId="18" type="noConversion"/>
  <conditionalFormatting sqref="G2:K10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1:Q1048576">
    <cfRule type="cellIs" dxfId="2" priority="2" operator="greaterThan">
      <formula>0.00001</formula>
    </cfRule>
    <cfRule type="cellIs" dxfId="1" priority="3" operator="greaterThan">
      <formula>0</formula>
    </cfRule>
    <cfRule type="cellIs" dxfId="0" priority="4" operator="greater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Comparison_Test_R2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Su, Howard</cp:lastModifiedBy>
  <dcterms:created xsi:type="dcterms:W3CDTF">2026-01-20T12:19:58Z</dcterms:created>
  <dcterms:modified xsi:type="dcterms:W3CDTF">2026-01-21T15:44:35Z</dcterms:modified>
</cp:coreProperties>
</file>